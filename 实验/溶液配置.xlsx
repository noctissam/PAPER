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24252\Desktop\PPT\课题\26年\26.10\实验\"/>
    </mc:Choice>
  </mc:AlternateContent>
  <xr:revisionPtr revIDLastSave="0" documentId="8_{82AD00F3-750F-4909-80AC-2274D93B2C59}" xr6:coauthVersionLast="47" xr6:coauthVersionMax="47" xr10:uidLastSave="{00000000-0000-0000-0000-000000000000}"/>
  <bookViews>
    <workbookView xWindow="-108" yWindow="-108" windowWidth="22308" windowHeight="13176" firstSheet="1" activeTab="3" xr2:uid="{00000000-000D-0000-FFFF-FFFF00000000}"/>
  </bookViews>
  <sheets>
    <sheet name="操作说明" sheetId="1" r:id="rId1"/>
    <sheet name="①24瓶主母液_纯品μL" sheetId="2" r:id="rId2"/>
    <sheet name="②7瓶一次稀释液" sheetId="3" r:id="rId3"/>
    <sheet name="③四级吸取表" sheetId="4" r:id="rId4"/>
    <sheet name="④53度估算" sheetId="5" r:id="rId5"/>
    <sheet name="⑤按级取液明细" sheetId="6" r:id="rId6"/>
    <sheet name="密度来源" sheetId="7" r:id="rId7"/>
    <sheet name="⑥20mL逐瓶配制卡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8" l="1"/>
  <c r="C35" i="8"/>
  <c r="G34" i="8"/>
  <c r="C34" i="8"/>
  <c r="G33" i="8"/>
  <c r="C33" i="8"/>
  <c r="G32" i="8"/>
  <c r="C32" i="8"/>
  <c r="G31" i="8"/>
  <c r="C31" i="8"/>
  <c r="G30" i="8"/>
  <c r="C30" i="8"/>
  <c r="G29" i="8"/>
  <c r="C29" i="8"/>
  <c r="G28" i="8"/>
  <c r="C28" i="8"/>
  <c r="G27" i="8"/>
  <c r="C27" i="8"/>
  <c r="G26" i="8"/>
  <c r="C26" i="8"/>
  <c r="G25" i="8"/>
  <c r="C25" i="8"/>
  <c r="G24" i="8"/>
  <c r="C24" i="8"/>
  <c r="G23" i="8"/>
  <c r="C23" i="8"/>
  <c r="G22" i="8"/>
  <c r="C22" i="8"/>
  <c r="G21" i="8"/>
  <c r="C21" i="8"/>
  <c r="G20" i="8"/>
  <c r="C20" i="8"/>
  <c r="G19" i="8"/>
  <c r="C19" i="8"/>
  <c r="G18" i="8"/>
  <c r="C18" i="8"/>
  <c r="G17" i="8"/>
  <c r="C17" i="8"/>
  <c r="G16" i="8"/>
  <c r="C16" i="8"/>
  <c r="G15" i="8"/>
  <c r="C15" i="8"/>
  <c r="G14" i="8"/>
  <c r="C14" i="8"/>
  <c r="G13" i="8"/>
  <c r="C13" i="8"/>
  <c r="G12" i="8"/>
  <c r="C12" i="8"/>
  <c r="G11" i="8"/>
  <c r="C11" i="8"/>
  <c r="G10" i="8"/>
  <c r="C10" i="8"/>
  <c r="G9" i="8"/>
  <c r="C9" i="8"/>
  <c r="G8" i="8"/>
  <c r="C8" i="8"/>
  <c r="G7" i="8"/>
  <c r="C7" i="8"/>
  <c r="G6" i="8"/>
  <c r="C6" i="8"/>
  <c r="G5" i="8"/>
  <c r="C5" i="8"/>
  <c r="M11" i="3"/>
  <c r="L11" i="3"/>
  <c r="H35" i="8" s="1"/>
  <c r="I35" i="8" s="1"/>
  <c r="G11" i="3"/>
  <c r="E35" i="8" s="1"/>
  <c r="F35" i="8" s="1"/>
  <c r="M10" i="3"/>
  <c r="G10" i="3"/>
  <c r="L10" i="3" s="1"/>
  <c r="H34" i="8" s="1"/>
  <c r="I34" i="8" s="1"/>
  <c r="M9" i="3"/>
  <c r="L9" i="3"/>
  <c r="H33" i="8" s="1"/>
  <c r="I33" i="8" s="1"/>
  <c r="G9" i="3"/>
  <c r="E33" i="8" s="1"/>
  <c r="F33" i="8" s="1"/>
  <c r="M8" i="3"/>
  <c r="L8" i="3"/>
  <c r="H32" i="8" s="1"/>
  <c r="I32" i="8" s="1"/>
  <c r="G8" i="3"/>
  <c r="E32" i="8" s="1"/>
  <c r="F32" i="8" s="1"/>
  <c r="G7" i="3"/>
  <c r="E31" i="8" s="1"/>
  <c r="F31" i="8" s="1"/>
  <c r="G6" i="3"/>
  <c r="E30" i="8" s="1"/>
  <c r="F30" i="8" s="1"/>
  <c r="G5" i="3"/>
  <c r="E29" i="8" s="1"/>
  <c r="F29" i="8" s="1"/>
  <c r="L28" i="2"/>
  <c r="G28" i="2"/>
  <c r="H28" i="2" s="1"/>
  <c r="L27" i="2"/>
  <c r="H27" i="2"/>
  <c r="J27" i="2" s="1"/>
  <c r="G27" i="2"/>
  <c r="L26" i="2"/>
  <c r="G26" i="2"/>
  <c r="H26" i="2" s="1"/>
  <c r="R25" i="2"/>
  <c r="Q25" i="2"/>
  <c r="H25" i="8" s="1"/>
  <c r="I25" i="8" s="1"/>
  <c r="L25" i="2"/>
  <c r="J25" i="2"/>
  <c r="I25" i="2"/>
  <c r="C25" i="4" s="1"/>
  <c r="F25" i="4" s="1"/>
  <c r="H25" i="2"/>
  <c r="E25" i="8" s="1"/>
  <c r="F25" i="8" s="1"/>
  <c r="G25" i="2"/>
  <c r="L24" i="2"/>
  <c r="G24" i="2"/>
  <c r="H24" i="2" s="1"/>
  <c r="R23" i="2"/>
  <c r="Q23" i="2"/>
  <c r="H23" i="8" s="1"/>
  <c r="I23" i="8" s="1"/>
  <c r="L23" i="2"/>
  <c r="J23" i="2"/>
  <c r="I23" i="2"/>
  <c r="C23" i="4" s="1"/>
  <c r="H23" i="2"/>
  <c r="E23" i="8" s="1"/>
  <c r="F23" i="8" s="1"/>
  <c r="G23" i="2"/>
  <c r="R22" i="2"/>
  <c r="Q22" i="2"/>
  <c r="H22" i="8" s="1"/>
  <c r="I22" i="8" s="1"/>
  <c r="L22" i="2"/>
  <c r="J22" i="2"/>
  <c r="H22" i="2"/>
  <c r="E22" i="8" s="1"/>
  <c r="F22" i="8" s="1"/>
  <c r="G22" i="2"/>
  <c r="L21" i="2"/>
  <c r="H21" i="2"/>
  <c r="R21" i="2" s="1"/>
  <c r="G21" i="2"/>
  <c r="L20" i="2"/>
  <c r="H20" i="2"/>
  <c r="R20" i="2" s="1"/>
  <c r="G20" i="2"/>
  <c r="L19" i="2"/>
  <c r="J19" i="2"/>
  <c r="H19" i="2"/>
  <c r="I19" i="2" s="1"/>
  <c r="C19" i="4" s="1"/>
  <c r="G19" i="2"/>
  <c r="R18" i="2"/>
  <c r="L18" i="2"/>
  <c r="H18" i="2"/>
  <c r="Q18" i="2" s="1"/>
  <c r="H18" i="8" s="1"/>
  <c r="I18" i="8" s="1"/>
  <c r="G18" i="2"/>
  <c r="R17" i="2"/>
  <c r="Q17" i="2"/>
  <c r="H17" i="8" s="1"/>
  <c r="I17" i="8" s="1"/>
  <c r="L17" i="2"/>
  <c r="J17" i="2"/>
  <c r="H17" i="2"/>
  <c r="E17" i="8" s="1"/>
  <c r="F17" i="8" s="1"/>
  <c r="G17" i="2"/>
  <c r="R16" i="2"/>
  <c r="L16" i="2"/>
  <c r="J16" i="2"/>
  <c r="H16" i="2"/>
  <c r="I16" i="2" s="1"/>
  <c r="C16" i="4" s="1"/>
  <c r="G16" i="2"/>
  <c r="L15" i="2"/>
  <c r="G15" i="2"/>
  <c r="H15" i="2" s="1"/>
  <c r="L14" i="2"/>
  <c r="H14" i="2"/>
  <c r="E14" i="8" s="1"/>
  <c r="F14" i="8" s="1"/>
  <c r="G14" i="2"/>
  <c r="L13" i="2"/>
  <c r="H13" i="2"/>
  <c r="E13" i="8" s="1"/>
  <c r="F13" i="8" s="1"/>
  <c r="G13" i="2"/>
  <c r="L12" i="2"/>
  <c r="H12" i="2"/>
  <c r="R12" i="2" s="1"/>
  <c r="G12" i="2"/>
  <c r="R11" i="2"/>
  <c r="L11" i="2"/>
  <c r="J11" i="2"/>
  <c r="H11" i="2"/>
  <c r="I11" i="2" s="1"/>
  <c r="C11" i="4" s="1"/>
  <c r="G11" i="2"/>
  <c r="R10" i="2"/>
  <c r="L10" i="2"/>
  <c r="H10" i="2"/>
  <c r="Q10" i="2" s="1"/>
  <c r="H10" i="8" s="1"/>
  <c r="I10" i="8" s="1"/>
  <c r="G10" i="2"/>
  <c r="R9" i="2"/>
  <c r="L9" i="2"/>
  <c r="J9" i="2"/>
  <c r="H9" i="2"/>
  <c r="E9" i="8" s="1"/>
  <c r="F9" i="8" s="1"/>
  <c r="G9" i="2"/>
  <c r="R8" i="2"/>
  <c r="L8" i="2"/>
  <c r="J8" i="2"/>
  <c r="H8" i="2"/>
  <c r="I8" i="2" s="1"/>
  <c r="C8" i="4" s="1"/>
  <c r="G8" i="2"/>
  <c r="R7" i="2"/>
  <c r="L7" i="2"/>
  <c r="J7" i="2"/>
  <c r="H7" i="2"/>
  <c r="Q7" i="2" s="1"/>
  <c r="H7" i="8" s="1"/>
  <c r="I7" i="8" s="1"/>
  <c r="G7" i="2"/>
  <c r="L6" i="2"/>
  <c r="H6" i="2"/>
  <c r="E6" i="8" s="1"/>
  <c r="F6" i="8" s="1"/>
  <c r="G6" i="2"/>
  <c r="L5" i="2"/>
  <c r="H5" i="2"/>
  <c r="E5" i="8" s="1"/>
  <c r="F5" i="8" s="1"/>
  <c r="G5" i="2"/>
  <c r="J8" i="4" l="1"/>
  <c r="G56" i="6" s="1"/>
  <c r="H8" i="4"/>
  <c r="G32" i="6" s="1"/>
  <c r="F8" i="4"/>
  <c r="R28" i="2"/>
  <c r="Q28" i="2"/>
  <c r="H28" i="8" s="1"/>
  <c r="I28" i="8" s="1"/>
  <c r="J28" i="2"/>
  <c r="I28" i="2"/>
  <c r="C28" i="4" s="1"/>
  <c r="E28" i="8"/>
  <c r="F28" i="8" s="1"/>
  <c r="I24" i="2"/>
  <c r="C24" i="4" s="1"/>
  <c r="E24" i="8"/>
  <c r="F24" i="8" s="1"/>
  <c r="R24" i="2"/>
  <c r="Q24" i="2"/>
  <c r="H24" i="8" s="1"/>
  <c r="I24" i="8" s="1"/>
  <c r="J24" i="2"/>
  <c r="K25" i="2"/>
  <c r="M25" i="2" s="1"/>
  <c r="N25" i="2" s="1"/>
  <c r="G25" i="6"/>
  <c r="R15" i="2"/>
  <c r="Q15" i="2"/>
  <c r="H15" i="8" s="1"/>
  <c r="I15" i="8" s="1"/>
  <c r="J15" i="2"/>
  <c r="I15" i="2"/>
  <c r="C15" i="4" s="1"/>
  <c r="E15" i="8"/>
  <c r="F15" i="8" s="1"/>
  <c r="R26" i="2"/>
  <c r="Q26" i="2"/>
  <c r="H26" i="8" s="1"/>
  <c r="I26" i="8" s="1"/>
  <c r="E26" i="8"/>
  <c r="F26" i="8" s="1"/>
  <c r="J26" i="2"/>
  <c r="I26" i="2"/>
  <c r="L19" i="4"/>
  <c r="G87" i="6" s="1"/>
  <c r="J19" i="4"/>
  <c r="G67" i="6" s="1"/>
  <c r="H19" i="4"/>
  <c r="G43" i="6" s="1"/>
  <c r="F19" i="4"/>
  <c r="J11" i="4"/>
  <c r="G59" i="6" s="1"/>
  <c r="H11" i="4"/>
  <c r="G35" i="6" s="1"/>
  <c r="F11" i="4"/>
  <c r="L16" i="4"/>
  <c r="G85" i="6" s="1"/>
  <c r="J16" i="4"/>
  <c r="G64" i="6" s="1"/>
  <c r="H16" i="4"/>
  <c r="G40" i="6" s="1"/>
  <c r="F16" i="4"/>
  <c r="L23" i="4"/>
  <c r="G91" i="6" s="1"/>
  <c r="J23" i="4"/>
  <c r="G71" i="6" s="1"/>
  <c r="H23" i="4"/>
  <c r="G47" i="6" s="1"/>
  <c r="F23" i="4"/>
  <c r="I5" i="2"/>
  <c r="Q6" i="2"/>
  <c r="H6" i="8" s="1"/>
  <c r="I6" i="8" s="1"/>
  <c r="I13" i="2"/>
  <c r="C13" i="4" s="1"/>
  <c r="Q14" i="2"/>
  <c r="H14" i="8" s="1"/>
  <c r="I14" i="8" s="1"/>
  <c r="I21" i="2"/>
  <c r="C21" i="4" s="1"/>
  <c r="L7" i="3"/>
  <c r="H31" i="8" s="1"/>
  <c r="I31" i="8" s="1"/>
  <c r="C10" i="3"/>
  <c r="E10" i="3" s="1"/>
  <c r="D25" i="4" s="1"/>
  <c r="E12" i="8"/>
  <c r="F12" i="8" s="1"/>
  <c r="E20" i="8"/>
  <c r="F20" i="8" s="1"/>
  <c r="R6" i="2"/>
  <c r="R14" i="2"/>
  <c r="J21" i="2"/>
  <c r="I10" i="2"/>
  <c r="C10" i="4" s="1"/>
  <c r="Q11" i="2"/>
  <c r="H11" i="8" s="1"/>
  <c r="I11" i="8" s="1"/>
  <c r="I18" i="2"/>
  <c r="C18" i="4" s="1"/>
  <c r="Q19" i="2"/>
  <c r="H19" i="8" s="1"/>
  <c r="I19" i="8" s="1"/>
  <c r="Q27" i="2"/>
  <c r="H27" i="8" s="1"/>
  <c r="I27" i="8" s="1"/>
  <c r="M7" i="3"/>
  <c r="J5" i="2"/>
  <c r="R27" i="2"/>
  <c r="L5" i="3"/>
  <c r="H29" i="8" s="1"/>
  <c r="I29" i="8" s="1"/>
  <c r="E7" i="8"/>
  <c r="F7" i="8" s="1"/>
  <c r="J10" i="2"/>
  <c r="J18" i="2"/>
  <c r="R19" i="2"/>
  <c r="I7" i="2"/>
  <c r="C7" i="4" s="1"/>
  <c r="Q8" i="2"/>
  <c r="H8" i="8" s="1"/>
  <c r="I8" i="8" s="1"/>
  <c r="Q16" i="2"/>
  <c r="H16" i="8" s="1"/>
  <c r="I16" i="8" s="1"/>
  <c r="M5" i="3"/>
  <c r="E10" i="8"/>
  <c r="F10" i="8" s="1"/>
  <c r="E18" i="8"/>
  <c r="F18" i="8" s="1"/>
  <c r="E34" i="8"/>
  <c r="F34" i="8" s="1"/>
  <c r="J6" i="2"/>
  <c r="J13" i="2"/>
  <c r="Q5" i="2"/>
  <c r="H5" i="8" s="1"/>
  <c r="I5" i="8" s="1"/>
  <c r="I12" i="2"/>
  <c r="Q13" i="2"/>
  <c r="H13" i="8" s="1"/>
  <c r="I13" i="8" s="1"/>
  <c r="I20" i="2"/>
  <c r="C20" i="4" s="1"/>
  <c r="Q21" i="2"/>
  <c r="H21" i="8" s="1"/>
  <c r="I21" i="8" s="1"/>
  <c r="R5" i="2"/>
  <c r="J12" i="2"/>
  <c r="R13" i="2"/>
  <c r="E21" i="8"/>
  <c r="F21" i="8" s="1"/>
  <c r="J20" i="2"/>
  <c r="I9" i="2"/>
  <c r="I17" i="2"/>
  <c r="C17" i="4" s="1"/>
  <c r="E8" i="8"/>
  <c r="F8" i="8" s="1"/>
  <c r="E16" i="8"/>
  <c r="F16" i="8" s="1"/>
  <c r="I6" i="2"/>
  <c r="I14" i="2"/>
  <c r="I22" i="2"/>
  <c r="C22" i="4" s="1"/>
  <c r="L6" i="3"/>
  <c r="H30" i="8" s="1"/>
  <c r="I30" i="8" s="1"/>
  <c r="M6" i="3"/>
  <c r="E11" i="8"/>
  <c r="F11" i="8" s="1"/>
  <c r="E19" i="8"/>
  <c r="F19" i="8" s="1"/>
  <c r="E27" i="8"/>
  <c r="F27" i="8" s="1"/>
  <c r="J14" i="2"/>
  <c r="Q12" i="2"/>
  <c r="H12" i="8" s="1"/>
  <c r="I12" i="8" s="1"/>
  <c r="Q20" i="2"/>
  <c r="H20" i="8" s="1"/>
  <c r="I20" i="8" s="1"/>
  <c r="I27" i="2"/>
  <c r="C27" i="4" s="1"/>
  <c r="Q9" i="2"/>
  <c r="H9" i="8" s="1"/>
  <c r="I9" i="8" s="1"/>
  <c r="I25" i="6" l="1"/>
  <c r="H25" i="6"/>
  <c r="K11" i="2"/>
  <c r="M11" i="2" s="1"/>
  <c r="N11" i="2" s="1"/>
  <c r="G11" i="6"/>
  <c r="I59" i="6"/>
  <c r="H59" i="6"/>
  <c r="J13" i="4"/>
  <c r="G61" i="6" s="1"/>
  <c r="H13" i="4"/>
  <c r="G37" i="6" s="1"/>
  <c r="F13" i="4"/>
  <c r="I67" i="6"/>
  <c r="H67" i="6"/>
  <c r="L25" i="4"/>
  <c r="G93" i="6" s="1"/>
  <c r="J25" i="4"/>
  <c r="G73" i="6" s="1"/>
  <c r="H25" i="4"/>
  <c r="I87" i="6"/>
  <c r="H87" i="6"/>
  <c r="G19" i="6"/>
  <c r="K19" i="2"/>
  <c r="M19" i="2" s="1"/>
  <c r="N19" i="2" s="1"/>
  <c r="I43" i="6"/>
  <c r="H43" i="6"/>
  <c r="C14" i="4"/>
  <c r="F14" i="4" s="1"/>
  <c r="C9" i="3"/>
  <c r="E9" i="3" s="1"/>
  <c r="D14" i="4" s="1"/>
  <c r="C6" i="4"/>
  <c r="F6" i="4" s="1"/>
  <c r="C6" i="3"/>
  <c r="E6" i="3" s="1"/>
  <c r="D6" i="4" s="1"/>
  <c r="C5" i="4"/>
  <c r="F5" i="4" s="1"/>
  <c r="C5" i="3"/>
  <c r="E5" i="3" s="1"/>
  <c r="D5" i="4" s="1"/>
  <c r="C26" i="4"/>
  <c r="C11" i="3"/>
  <c r="E11" i="3" s="1"/>
  <c r="D26" i="4" s="1"/>
  <c r="J26" i="4" s="1"/>
  <c r="L24" i="4"/>
  <c r="G92" i="6" s="1"/>
  <c r="J24" i="4"/>
  <c r="G72" i="6" s="1"/>
  <c r="H24" i="4"/>
  <c r="G48" i="6" s="1"/>
  <c r="F24" i="4"/>
  <c r="G23" i="6"/>
  <c r="K23" i="2"/>
  <c r="M23" i="2" s="1"/>
  <c r="N23" i="2" s="1"/>
  <c r="L22" i="4"/>
  <c r="G90" i="6" s="1"/>
  <c r="J22" i="4"/>
  <c r="G70" i="6" s="1"/>
  <c r="H22" i="4"/>
  <c r="G46" i="6" s="1"/>
  <c r="F22" i="4"/>
  <c r="L18" i="4"/>
  <c r="G86" i="6" s="1"/>
  <c r="J18" i="4"/>
  <c r="G66" i="6" s="1"/>
  <c r="H18" i="4"/>
  <c r="G42" i="6" s="1"/>
  <c r="F18" i="4"/>
  <c r="I47" i="6"/>
  <c r="H47" i="6"/>
  <c r="L28" i="4"/>
  <c r="G95" i="6" s="1"/>
  <c r="J28" i="4"/>
  <c r="G76" i="6" s="1"/>
  <c r="H28" i="4"/>
  <c r="G52" i="6" s="1"/>
  <c r="F28" i="4"/>
  <c r="H17" i="4"/>
  <c r="G41" i="6" s="1"/>
  <c r="F17" i="4"/>
  <c r="J17" i="4"/>
  <c r="G65" i="6" s="1"/>
  <c r="I71" i="6"/>
  <c r="H71" i="6"/>
  <c r="L10" i="4"/>
  <c r="G81" i="6" s="1"/>
  <c r="J10" i="4"/>
  <c r="G58" i="6" s="1"/>
  <c r="H10" i="4"/>
  <c r="G34" i="6" s="1"/>
  <c r="F10" i="4"/>
  <c r="I91" i="6"/>
  <c r="H91" i="6"/>
  <c r="G16" i="6"/>
  <c r="K16" i="2"/>
  <c r="M16" i="2" s="1"/>
  <c r="N16" i="2" s="1"/>
  <c r="C7" i="3"/>
  <c r="E7" i="3" s="1"/>
  <c r="D9" i="4" s="1"/>
  <c r="C9" i="4"/>
  <c r="F9" i="4" s="1"/>
  <c r="L27" i="4"/>
  <c r="G94" i="6" s="1"/>
  <c r="J27" i="4"/>
  <c r="G75" i="6" s="1"/>
  <c r="H27" i="4"/>
  <c r="G51" i="6" s="1"/>
  <c r="F27" i="4"/>
  <c r="H40" i="6"/>
  <c r="I40" i="6"/>
  <c r="L15" i="4"/>
  <c r="G84" i="6" s="1"/>
  <c r="J15" i="4"/>
  <c r="G63" i="6" s="1"/>
  <c r="H15" i="4"/>
  <c r="G39" i="6" s="1"/>
  <c r="F15" i="4"/>
  <c r="G8" i="6"/>
  <c r="K8" i="2"/>
  <c r="M8" i="2" s="1"/>
  <c r="N8" i="2" s="1"/>
  <c r="L7" i="4"/>
  <c r="G79" i="6" s="1"/>
  <c r="J7" i="4"/>
  <c r="G55" i="6" s="1"/>
  <c r="H7" i="4"/>
  <c r="G31" i="6" s="1"/>
  <c r="F7" i="4"/>
  <c r="I64" i="6"/>
  <c r="H64" i="6"/>
  <c r="I32" i="6"/>
  <c r="H32" i="6"/>
  <c r="I35" i="6"/>
  <c r="H35" i="6"/>
  <c r="L20" i="4"/>
  <c r="G88" i="6" s="1"/>
  <c r="J20" i="4"/>
  <c r="G68" i="6" s="1"/>
  <c r="H20" i="4"/>
  <c r="G44" i="6" s="1"/>
  <c r="F20" i="4"/>
  <c r="L21" i="4"/>
  <c r="G89" i="6" s="1"/>
  <c r="J21" i="4"/>
  <c r="G69" i="6" s="1"/>
  <c r="H21" i="4"/>
  <c r="G45" i="6" s="1"/>
  <c r="F21" i="4"/>
  <c r="C12" i="4"/>
  <c r="F12" i="4" s="1"/>
  <c r="C8" i="3"/>
  <c r="E8" i="3" s="1"/>
  <c r="D12" i="4" s="1"/>
  <c r="I85" i="6"/>
  <c r="H85" i="6"/>
  <c r="H56" i="6"/>
  <c r="I56" i="6"/>
  <c r="I94" i="6" l="1"/>
  <c r="H94" i="6"/>
  <c r="G28" i="6"/>
  <c r="K28" i="2"/>
  <c r="M28" i="2" s="1"/>
  <c r="N28" i="2" s="1"/>
  <c r="G24" i="6"/>
  <c r="K24" i="2"/>
  <c r="M24" i="2" s="1"/>
  <c r="N24" i="2" s="1"/>
  <c r="I48" i="6"/>
  <c r="H48" i="6"/>
  <c r="I76" i="6"/>
  <c r="H76" i="6"/>
  <c r="H72" i="6"/>
  <c r="I72" i="6"/>
  <c r="G49" i="6"/>
  <c r="I10" i="3"/>
  <c r="J10" i="3" s="1"/>
  <c r="I92" i="6"/>
  <c r="H92" i="6"/>
  <c r="I73" i="6"/>
  <c r="H73" i="6"/>
  <c r="I93" i="6"/>
  <c r="H93" i="6"/>
  <c r="L12" i="4"/>
  <c r="G82" i="6" s="1"/>
  <c r="J12" i="4"/>
  <c r="G60" i="6" s="1"/>
  <c r="H12" i="4"/>
  <c r="H26" i="4"/>
  <c r="G50" i="6" s="1"/>
  <c r="F26" i="4"/>
  <c r="I11" i="3"/>
  <c r="J11" i="3" s="1"/>
  <c r="G74" i="6"/>
  <c r="H8" i="6"/>
  <c r="I8" i="6"/>
  <c r="G18" i="6"/>
  <c r="K18" i="2"/>
  <c r="M18" i="2" s="1"/>
  <c r="N18" i="2" s="1"/>
  <c r="L5" i="4"/>
  <c r="J5" i="4"/>
  <c r="H5" i="4"/>
  <c r="G7" i="6"/>
  <c r="K7" i="2"/>
  <c r="M7" i="2" s="1"/>
  <c r="N7" i="2" s="1"/>
  <c r="I45" i="6"/>
  <c r="H45" i="6"/>
  <c r="I89" i="6"/>
  <c r="H89" i="6"/>
  <c r="G10" i="6"/>
  <c r="K10" i="2"/>
  <c r="M10" i="2" s="1"/>
  <c r="N10" i="2" s="1"/>
  <c r="I42" i="6"/>
  <c r="H42" i="6"/>
  <c r="C5" i="5"/>
  <c r="B5" i="5"/>
  <c r="G5" i="6"/>
  <c r="K5" i="2"/>
  <c r="M5" i="2" s="1"/>
  <c r="N5" i="2" s="1"/>
  <c r="G13" i="6"/>
  <c r="K13" i="2"/>
  <c r="M13" i="2" s="1"/>
  <c r="N13" i="2" s="1"/>
  <c r="I31" i="6"/>
  <c r="H31" i="6"/>
  <c r="K20" i="2"/>
  <c r="M20" i="2" s="1"/>
  <c r="N20" i="2" s="1"/>
  <c r="G20" i="6"/>
  <c r="I44" i="6"/>
  <c r="H44" i="6"/>
  <c r="I39" i="6"/>
  <c r="H39" i="6"/>
  <c r="I34" i="6"/>
  <c r="H34" i="6"/>
  <c r="I66" i="6"/>
  <c r="H66" i="6"/>
  <c r="L6" i="4"/>
  <c r="G78" i="6" s="1"/>
  <c r="J6" i="4"/>
  <c r="G54" i="6" s="1"/>
  <c r="H6" i="4"/>
  <c r="I37" i="6"/>
  <c r="H37" i="6"/>
  <c r="I52" i="6"/>
  <c r="H52" i="6"/>
  <c r="G12" i="6"/>
  <c r="K12" i="2"/>
  <c r="M12" i="2" s="1"/>
  <c r="N12" i="2" s="1"/>
  <c r="G21" i="6"/>
  <c r="K21" i="2"/>
  <c r="M21" i="2" s="1"/>
  <c r="N21" i="2" s="1"/>
  <c r="I68" i="6"/>
  <c r="H68" i="6"/>
  <c r="I63" i="6"/>
  <c r="H63" i="6"/>
  <c r="I58" i="6"/>
  <c r="H58" i="6"/>
  <c r="I86" i="6"/>
  <c r="H86" i="6"/>
  <c r="K6" i="2"/>
  <c r="M6" i="2" s="1"/>
  <c r="N6" i="2" s="1"/>
  <c r="G6" i="6"/>
  <c r="I61" i="6"/>
  <c r="H61" i="6"/>
  <c r="I16" i="6"/>
  <c r="H16" i="6"/>
  <c r="K15" i="2"/>
  <c r="M15" i="2" s="1"/>
  <c r="N15" i="2" s="1"/>
  <c r="G15" i="6"/>
  <c r="I84" i="6"/>
  <c r="H84" i="6"/>
  <c r="I81" i="6"/>
  <c r="H81" i="6"/>
  <c r="K22" i="2"/>
  <c r="M22" i="2" s="1"/>
  <c r="N22" i="2" s="1"/>
  <c r="G22" i="6"/>
  <c r="L14" i="4"/>
  <c r="G83" i="6" s="1"/>
  <c r="J14" i="4"/>
  <c r="G62" i="6" s="1"/>
  <c r="H14" i="4"/>
  <c r="I55" i="6"/>
  <c r="H55" i="6"/>
  <c r="I69" i="6"/>
  <c r="H69" i="6"/>
  <c r="H88" i="6"/>
  <c r="I88" i="6"/>
  <c r="I46" i="6"/>
  <c r="H46" i="6"/>
  <c r="K14" i="2"/>
  <c r="M14" i="2" s="1"/>
  <c r="N14" i="2" s="1"/>
  <c r="G14" i="6"/>
  <c r="L9" i="4"/>
  <c r="G80" i="6" s="1"/>
  <c r="J9" i="4"/>
  <c r="G57" i="6" s="1"/>
  <c r="H9" i="4"/>
  <c r="I11" i="6"/>
  <c r="H11" i="6"/>
  <c r="K9" i="2"/>
  <c r="M9" i="2" s="1"/>
  <c r="N9" i="2" s="1"/>
  <c r="G9" i="6"/>
  <c r="I79" i="6"/>
  <c r="H79" i="6"/>
  <c r="I95" i="6"/>
  <c r="H95" i="6"/>
  <c r="I65" i="6"/>
  <c r="H65" i="6"/>
  <c r="I70" i="6"/>
  <c r="H70" i="6"/>
  <c r="K27" i="2"/>
  <c r="M27" i="2" s="1"/>
  <c r="N27" i="2" s="1"/>
  <c r="G27" i="6"/>
  <c r="I90" i="6"/>
  <c r="H90" i="6"/>
  <c r="I51" i="6"/>
  <c r="H51" i="6"/>
  <c r="K17" i="2"/>
  <c r="M17" i="2" s="1"/>
  <c r="N17" i="2" s="1"/>
  <c r="G17" i="6"/>
  <c r="I75" i="6"/>
  <c r="H75" i="6"/>
  <c r="I41" i="6"/>
  <c r="H41" i="6"/>
  <c r="I23" i="6"/>
  <c r="H23" i="6"/>
  <c r="I19" i="6"/>
  <c r="H19" i="6"/>
  <c r="I83" i="6" l="1"/>
  <c r="H83" i="6"/>
  <c r="I54" i="6"/>
  <c r="H54" i="6"/>
  <c r="C8" i="5"/>
  <c r="B8" i="5"/>
  <c r="G77" i="6"/>
  <c r="I22" i="6"/>
  <c r="H22" i="6"/>
  <c r="D5" i="5"/>
  <c r="I49" i="6"/>
  <c r="H49" i="6"/>
  <c r="I80" i="6"/>
  <c r="H80" i="6"/>
  <c r="I74" i="6"/>
  <c r="H74" i="6"/>
  <c r="I78" i="6"/>
  <c r="H78" i="6"/>
  <c r="I10" i="6"/>
  <c r="H10" i="6"/>
  <c r="G26" i="6"/>
  <c r="K26" i="2"/>
  <c r="M26" i="2" s="1"/>
  <c r="N26" i="2" s="1"/>
  <c r="I21" i="6"/>
  <c r="H21" i="6"/>
  <c r="I50" i="6"/>
  <c r="H50" i="6"/>
  <c r="I7" i="3"/>
  <c r="J7" i="3" s="1"/>
  <c r="G33" i="6"/>
  <c r="I5" i="6"/>
  <c r="H5" i="6"/>
  <c r="I15" i="6"/>
  <c r="H15" i="6"/>
  <c r="I8" i="3"/>
  <c r="J8" i="3" s="1"/>
  <c r="G36" i="6"/>
  <c r="I27" i="6"/>
  <c r="H27" i="6"/>
  <c r="I14" i="6"/>
  <c r="H14" i="6"/>
  <c r="I12" i="6"/>
  <c r="H12" i="6"/>
  <c r="I20" i="6"/>
  <c r="H20" i="6"/>
  <c r="I60" i="6"/>
  <c r="H60" i="6"/>
  <c r="I57" i="6"/>
  <c r="H57" i="6"/>
  <c r="I82" i="6"/>
  <c r="H82" i="6"/>
  <c r="H24" i="6"/>
  <c r="I24" i="6"/>
  <c r="I18" i="6"/>
  <c r="H18" i="6"/>
  <c r="I17" i="6"/>
  <c r="H17" i="6"/>
  <c r="I9" i="6"/>
  <c r="H9" i="6"/>
  <c r="I6" i="6"/>
  <c r="H6" i="6"/>
  <c r="I7" i="6"/>
  <c r="H7" i="6"/>
  <c r="I28" i="6"/>
  <c r="H28" i="6"/>
  <c r="I9" i="3"/>
  <c r="J9" i="3" s="1"/>
  <c r="G38" i="6"/>
  <c r="G29" i="6"/>
  <c r="C6" i="5"/>
  <c r="I5" i="3"/>
  <c r="J5" i="3" s="1"/>
  <c r="B6" i="5"/>
  <c r="I62" i="6"/>
  <c r="H62" i="6"/>
  <c r="I6" i="3"/>
  <c r="J6" i="3" s="1"/>
  <c r="G30" i="6"/>
  <c r="I13" i="6"/>
  <c r="H13" i="6"/>
  <c r="C7" i="5"/>
  <c r="B7" i="5"/>
  <c r="G53" i="6"/>
  <c r="I53" i="6" l="1"/>
  <c r="H53" i="6"/>
  <c r="I30" i="6"/>
  <c r="H30" i="6"/>
  <c r="G5" i="5"/>
  <c r="I26" i="6"/>
  <c r="H26" i="6"/>
  <c r="I33" i="6"/>
  <c r="H33" i="6"/>
  <c r="E6" i="5"/>
  <c r="F6" i="5" s="1"/>
  <c r="I77" i="6"/>
  <c r="H77" i="6"/>
  <c r="D7" i="5"/>
  <c r="E7" i="5" s="1"/>
  <c r="F7" i="5" s="1"/>
  <c r="D8" i="5"/>
  <c r="G8" i="5" s="1"/>
  <c r="I38" i="6"/>
  <c r="H38" i="6"/>
  <c r="D6" i="5"/>
  <c r="I36" i="6"/>
  <c r="H36" i="6"/>
  <c r="I29" i="6"/>
  <c r="H29" i="6"/>
  <c r="E5" i="5"/>
  <c r="F5" i="5" s="1"/>
  <c r="H6" i="5" l="1"/>
  <c r="G6" i="5"/>
  <c r="H5" i="5"/>
  <c r="E8" i="5"/>
  <c r="H8" i="5" s="1"/>
  <c r="H7" i="5"/>
  <c r="G7" i="5"/>
  <c r="F8" i="5" l="1"/>
</calcChain>
</file>

<file path=xl/sharedStrings.xml><?xml version="1.0" encoding="utf-8"?>
<sst xmlns="http://schemas.openxmlformats.org/spreadsheetml/2006/main" count="928" uniqueCount="223">
  <si>
    <t>白酒重构｜20mL棕色瓶统一配液（移液枪+10mL量筒）</t>
  </si>
  <si>
    <t>设置项目</t>
  </si>
  <si>
    <t>数值</t>
  </si>
  <si>
    <t>说明</t>
  </si>
  <si>
    <t>每份酒样最终目标体积mL</t>
  </si>
  <si>
    <t>本工作簿固定以20mL计算；10mL成品需重新缩放</t>
  </si>
  <si>
    <t>每一级样品数</t>
  </si>
  <si>
    <t>每级16份20mL酒样；按20mL主母液及20mL子液核对备液量</t>
  </si>
  <si>
    <t>乙醇原液体积分数</t>
  </si>
  <si>
    <t>食用乙醇，假设95%v/v</t>
  </si>
  <si>
    <t>名义最终乙醇体积分数</t>
  </si>
  <si>
    <t>用10mL量筒配液，最终为名义约53%v/v，非严格定容</t>
  </si>
  <si>
    <t>纯品纯度默认值</t>
  </si>
  <si>
    <t>各化合物可在主母液表按瓶签改动</t>
  </si>
  <si>
    <t>取液保留小数位</t>
  </si>
  <si>
    <t>按0.1μL显示；实际受移液枪精度限制</t>
  </si>
  <si>
    <t>体积配制方式</t>
  </si>
  <si>
    <t>量筒 + 移液枪</t>
  </si>
  <si>
    <t>仅用P10/P20/P200/P1000取纯品和母液；95%乙醇用10mL量筒分次取用</t>
  </si>
  <si>
    <t>更新：24瓶主母液＋7瓶临用液全部配20mL，合计31瓶、620mL。四级样品吸取量不变；均只需要一次稀释。</t>
  </si>
  <si>
    <t>实验台操作顺序（无需天平/容量瓶）</t>
  </si>
  <si>
    <t>第1步｜准备容器</t>
  </si>
  <si>
    <t>备24个主液编号M01–M24、7个子液编号D01–D07的20mL棕色瓶；若瓶子装满无法摇匀，可先在洁净容器混匀后转移，或改用更大容量容器。</t>
  </si>
  <si>
    <t>第2步｜24瓶主母液</t>
  </si>
  <si>
    <t>按「①」H列吸取纯品μL，用P1000分次取大体积纯品；95%乙醇用10mL量筒分次取，按Q列约加mL至名义20mL。每种独立混匀、确认澄清后装瓶。</t>
  </si>
  <si>
    <t>第3步｜7瓶一次稀释液</t>
  </si>
  <si>
    <t>按「②」G列从对应主液取μL，按L列用量筒分次加入约需的95%乙醇，配成名义20mL；7份均一步稀释，不做连续梯度稀释。</t>
  </si>
  <si>
    <t>第4步｜重构时取液</t>
  </si>
  <si>
    <t>四级目标不变；照「③」表吸取（按每份20mL），同一种化合物共用主液或临用液；第4级空白项不添加。</t>
  </si>
  <si>
    <t>第5步｜53%酒精度</t>
  </si>
  <si>
    <t>看「④」每份酒样应额外加的95%乙醇和水的近似体积；不要在已配好20mL基酒后再额外加纯品母液。10mL量筒无法确保53%的准确酒精度。</t>
  </si>
  <si>
    <t>第6步｜溶解与保存</t>
  </si>
  <si>
    <t>少量先做53%乙醇中的澄清度小试，关注癸酸乙酯、辛酸乙酯、壬酸乙酯等；酸与缩醛分开储存。水/乙醇混合体积收缩，20mL只是近似体积。</t>
  </si>
  <si>
    <t>体积换算公式</t>
  </si>
  <si>
    <t>纯品μL＝目标母液浓度(mg/mL)×20(mL)÷[密度(g/mL)×纯度]。例如乙酸乙酯300mg/mL×20mL÷(0.896×0.97)≈6903.5μL；见「①」H列。</t>
  </si>
  <si>
    <t>误差边界</t>
  </si>
  <si>
    <t>所有31瓶按名义20mL配制，可能远高于实际所需总量；20mL棕色瓶装满无混匀空间。误差来自密度、纯度、量筒读数、混合体积收缩和挥发。</t>
  </si>
  <si>
    <t>①24瓶主母液｜只按μL取纯品，95%乙醇近似补至目标体积</t>
  </si>
  <si>
    <t>24瓶主母液均近似配至20mL；纯品直接按H列吸取μL，Q列为95%食用乙醇约加mL。实际纯度和密度请在E/F列修改。量筒配液误差较大。</t>
  </si>
  <si>
    <t>主液编号</t>
  </si>
  <si>
    <t>化合物</t>
  </si>
  <si>
    <t>设计浓度mg/mL</t>
  </si>
  <si>
    <t>配制总量mL</t>
  </si>
  <si>
    <t>比重g/mL</t>
  </si>
  <si>
    <t>纯品纯度</t>
  </si>
  <si>
    <t>理论纯品μL</t>
  </si>
  <si>
    <t>实际纯品μL</t>
  </si>
  <si>
    <t>按实际取液反算mg/mL</t>
  </si>
  <si>
    <t>95%载体近似体积分数</t>
  </si>
  <si>
    <t>16份主液使用mL</t>
  </si>
  <si>
    <t>配子液消耗mL</t>
  </si>
  <si>
    <t>合计用量mL</t>
  </si>
  <si>
    <t>配液剩余mL</t>
  </si>
  <si>
    <t>容器</t>
  </si>
  <si>
    <t>溶解/配制提醒</t>
  </si>
  <si>
    <t>95%乙醇约补加mL</t>
  </si>
  <si>
    <t>20mL瓶装操作提示</t>
  </si>
  <si>
    <t>M01</t>
  </si>
  <si>
    <t>异戊酸乙酯</t>
  </si>
  <si>
    <t>20mL棕色瓶</t>
  </si>
  <si>
    <t>先少量乙醇溶解后补液；检验澄清度</t>
  </si>
  <si>
    <t>M02</t>
  </si>
  <si>
    <t>丁酸乙酯</t>
  </si>
  <si>
    <t>M03</t>
  </si>
  <si>
    <t>乙酸乙酯</t>
  </si>
  <si>
    <t>M04</t>
  </si>
  <si>
    <t>辛酸乙酯</t>
  </si>
  <si>
    <t>M05</t>
  </si>
  <si>
    <t>戊酸乙酯</t>
  </si>
  <si>
    <t>M06</t>
  </si>
  <si>
    <t>庚酸乙酯</t>
  </si>
  <si>
    <t>M07</t>
  </si>
  <si>
    <t>己酸异戊酯</t>
  </si>
  <si>
    <t>M08</t>
  </si>
  <si>
    <t>乙酸异戊酯</t>
  </si>
  <si>
    <t>M09</t>
  </si>
  <si>
    <t>乙醛二乙缩醛</t>
  </si>
  <si>
    <t>M10</t>
  </si>
  <si>
    <t>异丁酸乙酯</t>
  </si>
  <si>
    <t>M11</t>
  </si>
  <si>
    <t>癸酸乙酯</t>
  </si>
  <si>
    <t>M12</t>
  </si>
  <si>
    <t>己酸</t>
  </si>
  <si>
    <t>M13</t>
  </si>
  <si>
    <t>异丁酸</t>
  </si>
  <si>
    <t>M14</t>
  </si>
  <si>
    <t>戊酸</t>
  </si>
  <si>
    <t>M15</t>
  </si>
  <si>
    <t>辛酸</t>
  </si>
  <si>
    <t>M16</t>
  </si>
  <si>
    <t>庚酸</t>
  </si>
  <si>
    <t>M17</t>
  </si>
  <si>
    <t>丁酸</t>
  </si>
  <si>
    <t>M18</t>
  </si>
  <si>
    <t>乙酸</t>
  </si>
  <si>
    <t>M19</t>
  </si>
  <si>
    <t>异戊酸/3-甲基丁酸</t>
  </si>
  <si>
    <t>M20</t>
  </si>
  <si>
    <t>己酸己酯</t>
  </si>
  <si>
    <t>M21</t>
  </si>
  <si>
    <t>苯乙酸乙酯</t>
  </si>
  <si>
    <t>M22</t>
  </si>
  <si>
    <t>1-丁醇</t>
  </si>
  <si>
    <t>M23</t>
  </si>
  <si>
    <t>1-己醇</t>
  </si>
  <si>
    <t>M24</t>
  </si>
  <si>
    <t>壬酸乙酯</t>
  </si>
  <si>
    <t>7瓶临用液全部配20mL，浓度及四级单次吸取量保持不变；G列按20mL重新计算了从主母液取用的体积（可能需要P1000分次吸取）。</t>
  </si>
  <si>
    <t>子液号</t>
  </si>
  <si>
    <t>原主液mg/mL</t>
  </si>
  <si>
    <t>稀释倍数</t>
  </si>
  <si>
    <t>子液浓度mg/mL</t>
  </si>
  <si>
    <t>子液最终mL</t>
  </si>
  <si>
    <t>主母液取μL</t>
  </si>
  <si>
    <t>乙醇补液</t>
  </si>
  <si>
    <t>16份子液实际消耗mL</t>
  </si>
  <si>
    <t>剩余mL</t>
  </si>
  <si>
    <t>推荐容器</t>
  </si>
  <si>
    <t>实操提示</t>
  </si>
  <si>
    <t>D01</t>
  </si>
  <si>
    <t>取主液后用10mL量筒分次加入95%乙醇，近似补足20mL</t>
  </si>
  <si>
    <t>D02</t>
  </si>
  <si>
    <t>D03</t>
  </si>
  <si>
    <t>D04</t>
  </si>
  <si>
    <t>D05</t>
  </si>
  <si>
    <t>D06</t>
  </si>
  <si>
    <t>D07</t>
  </si>
  <si>
    <t>③四级吸取表｜直接按每份20mL所需μL执行</t>
  </si>
  <si>
    <t>全部母液及临用液现为20mL瓶装，但浓度保持原设计；四级每份20mL酒样的μL取液量不因母液配制总量变化而变化。主=主液；子=子液。</t>
  </si>
  <si>
    <t>主液号</t>
  </si>
  <si>
    <t>主液真实浓度mg/mL</t>
  </si>
  <si>
    <t>第1级用液</t>
  </si>
  <si>
    <t>第1级μL</t>
  </si>
  <si>
    <t>第2级用液</t>
  </si>
  <si>
    <t>第2级μL</t>
  </si>
  <si>
    <t>第3级用液</t>
  </si>
  <si>
    <t>第3级μL</t>
  </si>
  <si>
    <t>第4级用液</t>
  </si>
  <si>
    <t>第4级μL</t>
  </si>
  <si>
    <t>母液数量</t>
  </si>
  <si>
    <t>特别注意</t>
  </si>
  <si>
    <t>主</t>
  </si>
  <si>
    <t>子</t>
  </si>
  <si>
    <t>主+子</t>
  </si>
  <si>
    <t>最低级需要约5μL(P10)</t>
  </si>
  <si>
    <t>仅主</t>
  </si>
  <si>
    <t>—</t>
  </si>
  <si>
    <t>④每份20mL配制53%乙醇：近似酒精度估算</t>
  </si>
  <si>
    <t>注意：载体的95%乙醇体积使用“溶液总体积－纯品体积”近似估算，忽略乙醇/水/香气物质混合体积收缩；10mL量筒无法严格控制53%！</t>
  </si>
  <si>
    <t>浓度等级</t>
  </si>
  <si>
    <t>该级20mL母/子液合计mL</t>
  </si>
  <si>
    <t>带入95%乙醇载体近似mL</t>
  </si>
  <si>
    <t>另加95%乙醇近似mL</t>
  </si>
  <si>
    <t>另加水近似mL</t>
  </si>
  <si>
    <t>总量按算术相加mL</t>
  </si>
  <si>
    <t>酒精度近似%</t>
  </si>
  <si>
    <t>风险标记</t>
  </si>
  <si>
    <t>额外95%乙醇与水分开量取；混匀后总体积会偏差</t>
  </si>
  <si>
    <t>更简便但偏差较大的做法：每级先按D列追加95%乙醇，再按E列加水。若要求酒精度准确，需要酒精计/密度仪或精确体积定容与验证。</t>
  </si>
  <si>
    <t>⑤按等级逐项吸取清单｜可筛选/打印直接在实验台使用</t>
  </si>
  <si>
    <t>每行=单份20mL应吸取的一个化合物；“16份累计”用来核对母液够不够用。用10mL量筒的最终体积仅为近似。</t>
  </si>
  <si>
    <t>编号</t>
  </si>
  <si>
    <t>主/子</t>
  </si>
  <si>
    <t>对应瓶号</t>
  </si>
  <si>
    <t>目标ppb</t>
  </si>
  <si>
    <t>吸取μL（单份）</t>
  </si>
  <si>
    <t>移液枪建议</t>
  </si>
  <si>
    <t>16份累计mL</t>
  </si>
  <si>
    <t>比重参考值｜FAO/JECFA公开香料规格</t>
  </si>
  <si>
    <t>FAO/JECFA比重一般为25°C附近，不能代替实物密度标签。数值取来源报告区间中点，均可在主母液表修改。</t>
  </si>
  <si>
    <t>比重近似 g/mL</t>
  </si>
  <si>
    <t>性质/风险</t>
  </si>
  <si>
    <t>来源网址（可打开）</t>
  </si>
  <si>
    <t>酯类</t>
  </si>
  <si>
    <t>https://www.fao.org/food/food-safety-quality/scientific-advice/jecfa/jecfa-flav/details/en/c/202/</t>
  </si>
  <si>
    <t>大多数比重为25°C；忽略比重与密度的细微差别</t>
  </si>
  <si>
    <t>https://www.fao.org/food/food-safety-quality/scientific-advice/jecfa/jecfa-flav/details/en/c/314/</t>
  </si>
  <si>
    <t>高浓度溶液</t>
  </si>
  <si>
    <t>https://www.fao.org/food/food-safety-quality/scientific-advice/jecfa/jecfa-flav/details/en/c/312/</t>
  </si>
  <si>
    <t>疏水酯</t>
  </si>
  <si>
    <t>https://www.fao.org/food/food-safety-quality/scientific-advice/jecfa/jecfa-flav/details/en/c/308/</t>
  </si>
  <si>
    <t>https://www.fao.org/food/food-safety-quality/scientific-advice/jecfa/jecfa-flav/details/en/c/315/</t>
  </si>
  <si>
    <t>https://www.fao.org/food/food-safety-quality/scientific-advice/jecfa/jecfa-flav/details/en/c/317/</t>
  </si>
  <si>
    <t>https://www.fao.org/food/food-safety-quality/scientific-advice/jecfa/jecfa-flav/details/en/c/295/</t>
  </si>
  <si>
    <t>https://www.fao.org/food/food-safety-quality/scientific-advice/jecfa/jecfa-flav/details/en/c/307/</t>
  </si>
  <si>
    <t>缩醛;与酸分开保存</t>
  </si>
  <si>
    <t>https://www.fao.org/food/food-safety-quality/scientific-advice/jecfa/jecfa-flav/details/en/c/729/</t>
  </si>
  <si>
    <t>https://www.fao.org/food/food-safety-quality/scientific-advice/jecfa/jecfa-flav/details/en/c/214/</t>
  </si>
  <si>
    <t>https://www.fao.org/food/food-safety-quality/scientific-advice/jecfa/jecfa-flav/details/en/c/303/</t>
  </si>
  <si>
    <t>酸类</t>
  </si>
  <si>
    <t>https://www.fao.org/food/food-safety-quality/scientific-advice/jecfa/jecfa-flav/details/en/c/265/</t>
  </si>
  <si>
    <t>https://www.fao.org/food/food-safety-quality/scientific-advice/jecfa/jecfa-flav/details/en/c/440/</t>
  </si>
  <si>
    <t>https://www.fao.org/food/food-safety-quality/scientific-advice/jecfa/jecfa-flav/details/en/c/278/</t>
  </si>
  <si>
    <t>酸类;低温可能凝固</t>
  </si>
  <si>
    <t>https://www.fao.org/food/food-safety-quality/scientific-advice/jecfa/jecfa-flav/details/en/c/9/</t>
  </si>
  <si>
    <t>https://www.fao.org/food/food-safety-quality/scientific-advice/jecfa/jecfa-flav/details/en/c/267/</t>
  </si>
  <si>
    <t>https://www.fao.org/food/food-safety-quality/scientific-advice/jecfa/jecfa-flav/details/en/c/275/</t>
  </si>
  <si>
    <t>https://www.fao.org/food/food-safety-quality/scientific-advice/jecfa/jecfa-flav/details/en/c/3/</t>
  </si>
  <si>
    <t>https://www.fao.org/food/food-safety-quality/scientific-advice/jecfa/jecfa-flav/details/en/c/435/</t>
  </si>
  <si>
    <t>https://www.fao.org/food/food-safety-quality/scientific-advice/jecfa/jecfa-flav/details/en/c/217/</t>
  </si>
  <si>
    <t>https://www.fao.org/food/food-safety-quality/scientific-advice/jecfa/jecfa-flav/details/en/c/942/</t>
  </si>
  <si>
    <t>醇类</t>
  </si>
  <si>
    <t>https://www.fao.org/food/food-safety-quality/scientific-advice/jecfa/jecfa-flav/details/en/c/6/</t>
  </si>
  <si>
    <t>https://www.fao.org/food/food-safety-quality/scientific-advice/jecfa/jecfa-flav/details/en/c/8/</t>
  </si>
  <si>
    <t>https://www.fao.org/food/food-safety-quality/scientific-advice/jecfa/jecfa-flav/details/en/c/302/</t>
  </si>
  <si>
    <t>20mL逐瓶操作卡｜照表吸取，分次加95%食用乙醇</t>
  </si>
  <si>
    <t>先吸取纯品或对应母液，再按“乙醇约加mL”用10mL量筒分次补加；每瓶总量仅为近似20mL，不能代替容量瓶准确定容。</t>
  </si>
  <si>
    <t>瓶号</t>
  </si>
  <si>
    <t>类型</t>
  </si>
  <si>
    <t>吸取来源</t>
  </si>
  <si>
    <t>需吸取μL</t>
  </si>
  <si>
    <t>移液枪取液建议</t>
  </si>
  <si>
    <t>名义最终体积mL</t>
  </si>
  <si>
    <t>95%乙醇约加mL</t>
  </si>
  <si>
    <t>10mL量筒操作</t>
  </si>
  <si>
    <t>配好打勾</t>
  </si>
  <si>
    <t>主液</t>
  </si>
  <si>
    <t>对应化合物液体纯品</t>
  </si>
  <si>
    <t>□</t>
  </si>
  <si>
    <t>一次稀释液</t>
  </si>
  <si>
    <t>对应的主母液</t>
  </si>
  <si>
    <t>重要：20mL棕色瓶如果正好装满，混匀空间不足；建议先在干净、密闭性良好的更大容器中混匀，再装瓶，或选更大规格棕色瓶。</t>
  </si>
  <si>
    <t>异戊酸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</si>
</sst>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0.0"/>
    <numFmt numFmtId="178" formatCode="0.0%"/>
    <numFmt numFmtId="179" formatCode="0.000"/>
  </numFmts>
  <fonts count="8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color rgb="FF24344D"/>
      <name val="Carlito"/>
    </font>
    <font>
      <b/>
      <sz val="10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87F82"/>
      </patternFill>
    </fill>
    <fill>
      <patternFill patternType="solid">
        <fgColor rgb="FFFFF1D5"/>
      </patternFill>
    </fill>
    <fill>
      <patternFill patternType="solid">
        <fgColor rgb="FFE4F4EB"/>
      </patternFill>
    </fill>
    <fill>
      <patternFill patternType="solid">
        <fgColor rgb="FFF6F8FA"/>
      </patternFill>
    </fill>
    <fill>
      <patternFill patternType="solid">
        <fgColor rgb="FFE8F1FA"/>
      </patternFill>
    </fill>
    <fill>
      <patternFill patternType="solid">
        <fgColor rgb="FF087F82"/>
      </patternFill>
    </fill>
    <fill>
      <patternFill patternType="solid">
        <fgColor rgb="FFE4F4EB"/>
      </patternFill>
    </fill>
    <fill>
      <patternFill patternType="solid">
        <fgColor rgb="FF17324D"/>
      </patternFill>
    </fill>
    <fill>
      <patternFill patternType="solid">
        <fgColor rgb="FFFFF1D5"/>
      </patternFill>
    </fill>
    <fill>
      <patternFill patternType="solid">
        <fgColor rgb="FFF6F8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2">
    <xf numFmtId="0" fontId="0" fillId="0" borderId="0" xfId="0"/>
    <xf numFmtId="0" fontId="2" fillId="3" borderId="0" xfId="1" applyFont="1" applyFill="1"/>
    <xf numFmtId="0" fontId="0" fillId="4" borderId="0" xfId="1" applyFont="1" applyFill="1"/>
    <xf numFmtId="9" fontId="0" fillId="4" borderId="0" xfId="1" applyNumberFormat="1" applyFont="1" applyFill="1"/>
    <xf numFmtId="0" fontId="0" fillId="0" borderId="0" xfId="1" applyFont="1" applyAlignment="1">
      <alignment wrapText="1"/>
    </xf>
    <xf numFmtId="0" fontId="0" fillId="0" borderId="0" xfId="1" applyFont="1" applyAlignment="1">
      <alignment vertical="center" wrapText="1"/>
    </xf>
    <xf numFmtId="0" fontId="0" fillId="6" borderId="0" xfId="1" applyFont="1" applyFill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0" fillId="6" borderId="0" xfId="1" applyFont="1" applyFill="1"/>
    <xf numFmtId="176" fontId="0" fillId="6" borderId="0" xfId="1" applyNumberFormat="1" applyFont="1" applyFill="1"/>
    <xf numFmtId="176" fontId="0" fillId="4" borderId="0" xfId="1" applyNumberFormat="1" applyFont="1" applyFill="1"/>
    <xf numFmtId="2" fontId="0" fillId="0" borderId="0" xfId="1" applyNumberFormat="1" applyFont="1"/>
    <xf numFmtId="176" fontId="0" fillId="7" borderId="0" xfId="1" applyNumberFormat="1" applyFont="1" applyFill="1"/>
    <xf numFmtId="9" fontId="0" fillId="7" borderId="0" xfId="1" applyNumberFormat="1" applyFont="1" applyFill="1"/>
    <xf numFmtId="177" fontId="0" fillId="0" borderId="0" xfId="1" applyNumberFormat="1" applyFont="1"/>
    <xf numFmtId="178" fontId="0" fillId="0" borderId="0" xfId="1" applyNumberFormat="1" applyFont="1"/>
    <xf numFmtId="177" fontId="0" fillId="5" borderId="0" xfId="1" applyNumberFormat="1" applyFont="1" applyFill="1"/>
    <xf numFmtId="177" fontId="3" fillId="5" borderId="0" xfId="1" applyNumberFormat="1" applyFont="1" applyFill="1"/>
    <xf numFmtId="2" fontId="0" fillId="6" borderId="0" xfId="1" applyNumberFormat="1" applyFont="1" applyFill="1"/>
    <xf numFmtId="9" fontId="0" fillId="6" borderId="0" xfId="1" applyNumberFormat="1" applyFont="1" applyFill="1"/>
    <xf numFmtId="177" fontId="0" fillId="6" borderId="0" xfId="1" applyNumberFormat="1" applyFont="1" applyFill="1"/>
    <xf numFmtId="178" fontId="0" fillId="6" borderId="0" xfId="1" applyNumberFormat="1" applyFont="1" applyFill="1"/>
    <xf numFmtId="179" fontId="0" fillId="0" borderId="0" xfId="1" applyNumberFormat="1" applyFont="1"/>
    <xf numFmtId="179" fontId="0" fillId="6" borderId="0" xfId="1" applyNumberFormat="1" applyFont="1" applyFill="1"/>
    <xf numFmtId="2" fontId="0" fillId="5" borderId="0" xfId="1" applyNumberFormat="1" applyFont="1" applyFill="1"/>
    <xf numFmtId="3" fontId="0" fillId="0" borderId="0" xfId="1" applyNumberFormat="1" applyFont="1"/>
    <xf numFmtId="3" fontId="0" fillId="6" borderId="0" xfId="1" applyNumberFormat="1" applyFont="1" applyFill="1"/>
    <xf numFmtId="0" fontId="4" fillId="8" borderId="0" xfId="1" applyFont="1" applyFill="1" applyAlignment="1">
      <alignment vertical="center" wrapText="1"/>
    </xf>
    <xf numFmtId="2" fontId="0" fillId="9" borderId="0" xfId="1" applyNumberFormat="1" applyFont="1" applyFill="1"/>
    <xf numFmtId="0" fontId="0" fillId="6" borderId="0" xfId="1" applyFont="1" applyFill="1" applyAlignment="1">
      <alignment wrapText="1"/>
    </xf>
    <xf numFmtId="0" fontId="2" fillId="8" borderId="0" xfId="1" applyFont="1" applyFill="1" applyAlignment="1">
      <alignment wrapText="1"/>
    </xf>
    <xf numFmtId="0" fontId="0" fillId="12" borderId="0" xfId="1" applyFont="1" applyFill="1"/>
    <xf numFmtId="177" fontId="0" fillId="9" borderId="0" xfId="1" applyNumberFormat="1" applyFont="1" applyFill="1"/>
    <xf numFmtId="0" fontId="1" fillId="2" borderId="0" xfId="1" applyFont="1" applyFill="1" applyAlignment="1">
      <alignment vertical="center"/>
    </xf>
    <xf numFmtId="0" fontId="3" fillId="5" borderId="0" xfId="1" applyFont="1" applyFill="1" applyAlignment="1">
      <alignment wrapText="1"/>
    </xf>
    <xf numFmtId="0" fontId="2" fillId="2" borderId="0" xfId="1" applyFont="1" applyFill="1"/>
    <xf numFmtId="0" fontId="0" fillId="6" borderId="0" xfId="1" applyFont="1" applyFill="1" applyAlignment="1">
      <alignment vertical="center" wrapText="1"/>
    </xf>
    <xf numFmtId="0" fontId="0" fillId="0" borderId="0" xfId="1" applyFont="1" applyAlignment="1">
      <alignment vertical="center" wrapText="1"/>
    </xf>
    <xf numFmtId="0" fontId="0" fillId="4" borderId="0" xfId="1" applyFont="1" applyFill="1" applyAlignment="1">
      <alignment wrapText="1"/>
    </xf>
    <xf numFmtId="0" fontId="1" fillId="10" borderId="0" xfId="1" applyFont="1" applyFill="1"/>
    <xf numFmtId="0" fontId="0" fillId="11" borderId="0" xfId="1" applyFont="1" applyFill="1" applyAlignment="1">
      <alignment wrapText="1"/>
    </xf>
    <xf numFmtId="0" fontId="7" fillId="0" borderId="0" xfId="0" applyFont="1"/>
  </cellXfs>
  <cellStyles count="2">
    <cellStyle name="Normal" xfId="1" xr:uid="{00000000-0005-0000-0000-000000000000}"/>
    <cellStyle name="常规" xfId="0" builtinId="0"/>
  </cellStyles>
  <dxfs count="1">
    <dxf>
      <fill>
        <patternFill>
          <bgColor rgb="FFFCDF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pane ySplit="4" topLeftCell="A5" activePane="bottomLeft" state="frozen"/>
      <selection pane="bottomLeft"/>
    </sheetView>
  </sheetViews>
  <sheetFormatPr defaultRowHeight="13.8"/>
  <cols>
    <col min="1" max="1" width="30" customWidth="1"/>
    <col min="2" max="2" width="25" customWidth="1"/>
    <col min="3" max="3" width="57" customWidth="1"/>
    <col min="4" max="9" width="12" customWidth="1"/>
  </cols>
  <sheetData>
    <row r="1" spans="1:9" ht="37.950000000000003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3" spans="1:9" ht="30" customHeight="1">
      <c r="A3" s="1" t="s">
        <v>1</v>
      </c>
      <c r="B3" s="1" t="s">
        <v>2</v>
      </c>
      <c r="C3" s="1" t="s">
        <v>3</v>
      </c>
    </row>
    <row r="4" spans="1:9">
      <c r="A4" t="s">
        <v>4</v>
      </c>
      <c r="B4" s="2">
        <v>20</v>
      </c>
      <c r="C4" t="s">
        <v>5</v>
      </c>
    </row>
    <row r="5" spans="1:9">
      <c r="A5" t="s">
        <v>6</v>
      </c>
      <c r="B5" s="2">
        <v>16</v>
      </c>
      <c r="C5" t="s">
        <v>7</v>
      </c>
    </row>
    <row r="6" spans="1:9">
      <c r="A6" t="s">
        <v>8</v>
      </c>
      <c r="B6" s="3">
        <v>0.95</v>
      </c>
      <c r="C6" t="s">
        <v>9</v>
      </c>
    </row>
    <row r="7" spans="1:9">
      <c r="A7" t="s">
        <v>10</v>
      </c>
      <c r="B7" s="3">
        <v>0.53</v>
      </c>
      <c r="C7" t="s">
        <v>11</v>
      </c>
    </row>
    <row r="8" spans="1:9">
      <c r="A8" t="s">
        <v>12</v>
      </c>
      <c r="B8" s="3">
        <v>0.97</v>
      </c>
      <c r="C8" t="s">
        <v>13</v>
      </c>
    </row>
    <row r="9" spans="1:9">
      <c r="A9" t="s">
        <v>14</v>
      </c>
      <c r="B9" s="2">
        <v>1</v>
      </c>
      <c r="C9" t="s">
        <v>15</v>
      </c>
    </row>
    <row r="10" spans="1:9">
      <c r="A10" t="s">
        <v>16</v>
      </c>
      <c r="B10" s="2" t="s">
        <v>17</v>
      </c>
      <c r="C10" t="s">
        <v>18</v>
      </c>
    </row>
    <row r="12" spans="1:9" ht="34.950000000000003" customHeight="1">
      <c r="A12" s="34" t="s">
        <v>19</v>
      </c>
      <c r="B12" s="34"/>
      <c r="C12" s="34"/>
      <c r="D12" s="34"/>
      <c r="E12" s="34"/>
      <c r="F12" s="34"/>
      <c r="G12" s="34"/>
      <c r="H12" s="34"/>
      <c r="I12" s="34"/>
    </row>
    <row r="14" spans="1:9" ht="30" customHeight="1">
      <c r="A14" s="35" t="s">
        <v>20</v>
      </c>
      <c r="B14" s="35"/>
      <c r="C14" s="35"/>
      <c r="D14" s="35"/>
      <c r="E14" s="35"/>
      <c r="F14" s="35"/>
      <c r="G14" s="35"/>
      <c r="H14" s="35"/>
      <c r="I14" s="35"/>
    </row>
    <row r="15" spans="1:9" ht="52.95" customHeight="1">
      <c r="A15" s="6" t="s">
        <v>21</v>
      </c>
      <c r="B15" s="36" t="s">
        <v>22</v>
      </c>
      <c r="C15" s="36"/>
      <c r="D15" s="36"/>
      <c r="E15" s="36"/>
      <c r="F15" s="36"/>
      <c r="G15" s="36"/>
      <c r="H15" s="36"/>
      <c r="I15" s="36"/>
    </row>
    <row r="16" spans="1:9" ht="52.95" customHeight="1">
      <c r="A16" s="5" t="s">
        <v>23</v>
      </c>
      <c r="B16" s="37" t="s">
        <v>24</v>
      </c>
      <c r="C16" s="37"/>
      <c r="D16" s="37"/>
      <c r="E16" s="37"/>
      <c r="F16" s="37"/>
      <c r="G16" s="37"/>
      <c r="H16" s="37"/>
      <c r="I16" s="37"/>
    </row>
    <row r="17" spans="1:9" ht="52.95" customHeight="1">
      <c r="A17" s="6" t="s">
        <v>25</v>
      </c>
      <c r="B17" s="36" t="s">
        <v>26</v>
      </c>
      <c r="C17" s="36"/>
      <c r="D17" s="36"/>
      <c r="E17" s="36"/>
      <c r="F17" s="36"/>
      <c r="G17" s="36"/>
      <c r="H17" s="36"/>
      <c r="I17" s="36"/>
    </row>
    <row r="18" spans="1:9" ht="52.95" customHeight="1">
      <c r="A18" s="5" t="s">
        <v>27</v>
      </c>
      <c r="B18" s="37" t="s">
        <v>28</v>
      </c>
      <c r="C18" s="37"/>
      <c r="D18" s="37"/>
      <c r="E18" s="37"/>
      <c r="F18" s="37"/>
      <c r="G18" s="37"/>
      <c r="H18" s="37"/>
      <c r="I18" s="37"/>
    </row>
    <row r="19" spans="1:9" ht="52.95" customHeight="1">
      <c r="A19" s="6" t="s">
        <v>29</v>
      </c>
      <c r="B19" s="36" t="s">
        <v>30</v>
      </c>
      <c r="C19" s="36"/>
      <c r="D19" s="36"/>
      <c r="E19" s="36"/>
      <c r="F19" s="36"/>
      <c r="G19" s="36"/>
      <c r="H19" s="36"/>
      <c r="I19" s="36"/>
    </row>
    <row r="20" spans="1:9" ht="52.95" customHeight="1">
      <c r="A20" s="5" t="s">
        <v>31</v>
      </c>
      <c r="B20" s="37" t="s">
        <v>32</v>
      </c>
      <c r="C20" s="37"/>
      <c r="D20" s="37"/>
      <c r="E20" s="37"/>
      <c r="F20" s="37"/>
      <c r="G20" s="37"/>
      <c r="H20" s="37"/>
      <c r="I20" s="37"/>
    </row>
    <row r="21" spans="1:9" ht="52.95" customHeight="1">
      <c r="A21" s="6" t="s">
        <v>33</v>
      </c>
      <c r="B21" s="36" t="s">
        <v>34</v>
      </c>
      <c r="C21" s="36"/>
      <c r="D21" s="36"/>
      <c r="E21" s="36"/>
      <c r="F21" s="36"/>
      <c r="G21" s="36"/>
      <c r="H21" s="36"/>
      <c r="I21" s="36"/>
    </row>
    <row r="22" spans="1:9" ht="52.95" customHeight="1">
      <c r="A22" s="5" t="s">
        <v>35</v>
      </c>
      <c r="B22" s="37" t="s">
        <v>36</v>
      </c>
      <c r="C22" s="37"/>
      <c r="D22" s="37"/>
      <c r="E22" s="37"/>
      <c r="F22" s="37"/>
      <c r="G22" s="37"/>
      <c r="H22" s="37"/>
      <c r="I22" s="37"/>
    </row>
  </sheetData>
  <mergeCells count="11">
    <mergeCell ref="B22:I22"/>
    <mergeCell ref="B17:I17"/>
    <mergeCell ref="B18:I18"/>
    <mergeCell ref="B19:I19"/>
    <mergeCell ref="B20:I20"/>
    <mergeCell ref="B21:I21"/>
    <mergeCell ref="A1:I1"/>
    <mergeCell ref="A12:I12"/>
    <mergeCell ref="A14:I14"/>
    <mergeCell ref="B15:I15"/>
    <mergeCell ref="B16:I16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8"/>
  <sheetViews>
    <sheetView workbookViewId="0">
      <pane ySplit="4" topLeftCell="A5" activePane="bottomLeft" state="frozen"/>
      <selection pane="bottomLeft" activeCell="W4" sqref="W4"/>
    </sheetView>
  </sheetViews>
  <sheetFormatPr defaultRowHeight="13.8"/>
  <cols>
    <col min="1" max="1" width="8.19921875" bestFit="1" customWidth="1"/>
    <col min="2" max="2" width="12.3984375" bestFit="1" customWidth="1"/>
    <col min="3" max="3" width="13.796875" bestFit="1" customWidth="1"/>
    <col min="4" max="4" width="10.69921875" bestFit="1" customWidth="1"/>
    <col min="5" max="5" width="8.69921875" hidden="1" customWidth="1"/>
    <col min="6" max="6" width="15" hidden="1" customWidth="1"/>
    <col min="7" max="7" width="10.19921875" hidden="1" customWidth="1"/>
    <col min="8" max="8" width="10.19921875" bestFit="1" customWidth="1"/>
    <col min="9" max="9" width="19.3984375" hidden="1" customWidth="1"/>
    <col min="10" max="10" width="19.09765625" hidden="1" customWidth="1"/>
    <col min="11" max="11" width="14.5" hidden="1" customWidth="1"/>
    <col min="12" max="12" width="20" hidden="1" customWidth="1"/>
    <col min="13" max="14" width="16" hidden="1" customWidth="1"/>
    <col min="15" max="15" width="15" hidden="1" customWidth="1"/>
    <col min="16" max="16" width="43" hidden="1" customWidth="1"/>
    <col min="17" max="17" width="22" hidden="1" customWidth="1"/>
    <col min="18" max="18" width="31.796875" bestFit="1" customWidth="1"/>
  </cols>
  <sheetData>
    <row r="1" spans="1:18" ht="37.950000000000003" hidden="1" customHeight="1">
      <c r="A1" s="33" t="s">
        <v>37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8" hidden="1"/>
    <row r="3" spans="1:18" ht="37.049999999999997" hidden="1" customHeigh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</row>
    <row r="4" spans="1:18" ht="46.95" customHeight="1">
      <c r="A4" s="7" t="s">
        <v>39</v>
      </c>
      <c r="B4" s="7" t="s">
        <v>40</v>
      </c>
      <c r="C4" s="7" t="s">
        <v>41</v>
      </c>
      <c r="D4" s="7" t="s">
        <v>42</v>
      </c>
      <c r="E4" s="7" t="s">
        <v>43</v>
      </c>
      <c r="F4" s="7" t="s">
        <v>44</v>
      </c>
      <c r="G4" s="7" t="s">
        <v>45</v>
      </c>
      <c r="H4" s="7" t="s">
        <v>46</v>
      </c>
      <c r="I4" s="7" t="s">
        <v>47</v>
      </c>
      <c r="J4" s="7" t="s">
        <v>48</v>
      </c>
      <c r="K4" s="7" t="s">
        <v>49</v>
      </c>
      <c r="L4" s="7" t="s">
        <v>50</v>
      </c>
      <c r="M4" s="7" t="s">
        <v>51</v>
      </c>
      <c r="N4" s="7" t="s">
        <v>52</v>
      </c>
      <c r="O4" s="7" t="s">
        <v>53</v>
      </c>
      <c r="P4" s="7" t="s">
        <v>54</v>
      </c>
      <c r="Q4" s="27" t="s">
        <v>55</v>
      </c>
      <c r="R4" s="27" t="s">
        <v>56</v>
      </c>
    </row>
    <row r="5" spans="1:18" ht="25.05" customHeight="1">
      <c r="A5" t="s">
        <v>57</v>
      </c>
      <c r="B5" t="s">
        <v>58</v>
      </c>
      <c r="C5" s="11">
        <v>30</v>
      </c>
      <c r="D5" s="11">
        <v>20</v>
      </c>
      <c r="E5" s="12">
        <v>0.86399999999999999</v>
      </c>
      <c r="F5" s="13">
        <v>0.97</v>
      </c>
      <c r="G5" s="14">
        <f t="shared" ref="G5:G28" si="0">C5*D5/(E5*F5)</f>
        <v>715.92210767468509</v>
      </c>
      <c r="H5" s="17">
        <f t="shared" ref="H5:H28" si="1">ROUND(G5,0)</f>
        <v>716</v>
      </c>
      <c r="I5" s="11">
        <f t="shared" ref="I5:I28" si="2">H5*E5*F5/D5</f>
        <v>30.003264000000001</v>
      </c>
      <c r="J5" s="15">
        <f t="shared" ref="J5:J28" si="3">1-H5/(D5*1000)</f>
        <v>0.96419999999999995</v>
      </c>
      <c r="K5" s="11">
        <f>SUM(IF(③四级吸取表!E5="主",③四级吸取表!F5,0),IF(③四级吸取表!G5="主",③四级吸取表!H5,0),IF(③四级吸取表!I5="主",③四级吸取表!J5,0),IF(③四级吸取表!K5="主",③四级吸取表!L5,0))*操作说明!$B$5/1000</f>
        <v>1.8784000000000001</v>
      </c>
      <c r="L5" s="11">
        <f>IFERROR(INDEX(②7瓶一次稀释液!$G$5:$G$11,MATCH(B5,②7瓶一次稀释液!$B$5:$B$11,0))/1000,0)</f>
        <v>0.2</v>
      </c>
      <c r="M5" s="11">
        <f t="shared" ref="M5:M28" si="4">K5+L5</f>
        <v>2.0784000000000002</v>
      </c>
      <c r="N5" s="11">
        <f t="shared" ref="N5:N28" si="5">D5-M5</f>
        <v>17.921599999999998</v>
      </c>
      <c r="O5" s="11" t="s">
        <v>59</v>
      </c>
      <c r="P5" s="4" t="s">
        <v>60</v>
      </c>
      <c r="Q5" s="28">
        <f t="shared" ref="Q5:Q28" si="6">D5-H5/1000</f>
        <v>19.283999999999999</v>
      </c>
      <c r="R5" t="str">
        <f t="shared" ref="R5:R28" si="7">IF(H5&gt;1000,"纯品P1000分次取；勿装满后才混匀","先混匀后装瓶；不可直接装满摇匀")</f>
        <v>先混匀后装瓶；不可直接装满摇匀</v>
      </c>
    </row>
    <row r="6" spans="1:18" ht="25.05" customHeight="1">
      <c r="A6" s="8" t="s">
        <v>61</v>
      </c>
      <c r="B6" s="8" t="s">
        <v>62</v>
      </c>
      <c r="C6" s="18">
        <v>48</v>
      </c>
      <c r="D6" s="18">
        <v>20</v>
      </c>
      <c r="E6" s="9">
        <v>0.87350000000000005</v>
      </c>
      <c r="F6" s="19">
        <v>0.97</v>
      </c>
      <c r="G6" s="20">
        <f t="shared" si="0"/>
        <v>1133.0174260440579</v>
      </c>
      <c r="H6" s="17">
        <f t="shared" si="1"/>
        <v>1133</v>
      </c>
      <c r="I6" s="18">
        <f t="shared" si="2"/>
        <v>47.999261750000002</v>
      </c>
      <c r="J6" s="21">
        <f t="shared" si="3"/>
        <v>0.94335000000000002</v>
      </c>
      <c r="K6" s="18">
        <f>SUM(IF(③四级吸取表!E6="主",③四级吸取表!F6,0),IF(③四级吸取表!G6="主",③四级吸取表!H6,0),IF(③四级吸取表!I6="主",③四级吸取表!J6,0),IF(③四级吸取表!K6="主",③四级吸取表!L6,0))*操作说明!$B$5/1000</f>
        <v>6.2671999999999999</v>
      </c>
      <c r="L6" s="18">
        <f>IFERROR(INDEX(②7瓶一次稀释液!$G$5:$G$11,MATCH(B6,②7瓶一次稀释液!$B$5:$B$11,0))/1000,0)</f>
        <v>4</v>
      </c>
      <c r="M6" s="18">
        <f t="shared" si="4"/>
        <v>10.267199999999999</v>
      </c>
      <c r="N6" s="18">
        <f t="shared" si="5"/>
        <v>9.732800000000001</v>
      </c>
      <c r="O6" s="18" t="s">
        <v>59</v>
      </c>
      <c r="P6" s="29" t="s">
        <v>60</v>
      </c>
      <c r="Q6" s="28">
        <f t="shared" si="6"/>
        <v>18.867000000000001</v>
      </c>
      <c r="R6" t="str">
        <f t="shared" si="7"/>
        <v>纯品P1000分次取；勿装满后才混匀</v>
      </c>
    </row>
    <row r="7" spans="1:18" ht="25.05" customHeight="1">
      <c r="A7" t="s">
        <v>63</v>
      </c>
      <c r="B7" t="s">
        <v>64</v>
      </c>
      <c r="C7" s="11">
        <v>300</v>
      </c>
      <c r="D7" s="11">
        <v>20</v>
      </c>
      <c r="E7" s="12">
        <v>0.89600000000000002</v>
      </c>
      <c r="F7" s="13">
        <v>0.97</v>
      </c>
      <c r="G7" s="14">
        <f t="shared" si="0"/>
        <v>6903.5346097201764</v>
      </c>
      <c r="H7" s="17">
        <f t="shared" si="1"/>
        <v>6904</v>
      </c>
      <c r="I7" s="11">
        <f t="shared" si="2"/>
        <v>300.02022399999998</v>
      </c>
      <c r="J7" s="15">
        <f t="shared" si="3"/>
        <v>0.65480000000000005</v>
      </c>
      <c r="K7" s="11">
        <f>SUM(IF(③四级吸取表!E7="主",③四级吸取表!F7,0),IF(③四级吸取表!G7="主",③四级吸取表!H7,0),IF(③四级吸取表!I7="主",③四级吸取表!J7,0),IF(③四级吸取表!K7="主",③四级吸取表!L7,0))*操作说明!$B$5/1000</f>
        <v>7.8943999999999992</v>
      </c>
      <c r="L7" s="11">
        <f>IFERROR(INDEX(②7瓶一次稀释液!$G$5:$G$11,MATCH(B7,②7瓶一次稀释液!$B$5:$B$11,0))/1000,0)</f>
        <v>0</v>
      </c>
      <c r="M7" s="11">
        <f t="shared" si="4"/>
        <v>7.8943999999999992</v>
      </c>
      <c r="N7" s="11">
        <f t="shared" si="5"/>
        <v>12.105600000000001</v>
      </c>
      <c r="O7" s="11" t="s">
        <v>59</v>
      </c>
      <c r="P7" s="4" t="s">
        <v>60</v>
      </c>
      <c r="Q7" s="28">
        <f t="shared" si="6"/>
        <v>13.096</v>
      </c>
      <c r="R7" t="str">
        <f t="shared" si="7"/>
        <v>纯品P1000分次取；勿装满后才混匀</v>
      </c>
    </row>
    <row r="8" spans="1:18" ht="25.05" customHeight="1">
      <c r="A8" s="8" t="s">
        <v>65</v>
      </c>
      <c r="B8" s="8" t="s">
        <v>66</v>
      </c>
      <c r="C8" s="18">
        <v>12</v>
      </c>
      <c r="D8" s="18">
        <v>20</v>
      </c>
      <c r="E8" s="9">
        <v>0.86650000000000005</v>
      </c>
      <c r="F8" s="19">
        <v>0.97</v>
      </c>
      <c r="G8" s="20">
        <f t="shared" si="0"/>
        <v>285.54262021046867</v>
      </c>
      <c r="H8" s="17">
        <f t="shared" si="1"/>
        <v>286</v>
      </c>
      <c r="I8" s="18">
        <f t="shared" si="2"/>
        <v>12.0192215</v>
      </c>
      <c r="J8" s="21">
        <f t="shared" si="3"/>
        <v>0.98570000000000002</v>
      </c>
      <c r="K8" s="18">
        <f>SUM(IF(③四级吸取表!E8="主",③四级吸取表!F8,0),IF(③四级吸取表!G8="主",③四级吸取表!H8,0),IF(③四级吸取表!I8="主",③四级吸取表!J8,0),IF(③四级吸取表!K8="主",③四级吸取表!L8,0))*操作说明!$B$5/1000</f>
        <v>7.1536</v>
      </c>
      <c r="L8" s="18">
        <f>IFERROR(INDEX(②7瓶一次稀释液!$G$5:$G$11,MATCH(B8,②7瓶一次稀释液!$B$5:$B$11,0))/1000,0)</f>
        <v>0</v>
      </c>
      <c r="M8" s="18">
        <f t="shared" si="4"/>
        <v>7.1536</v>
      </c>
      <c r="N8" s="18">
        <f t="shared" si="5"/>
        <v>12.846399999999999</v>
      </c>
      <c r="O8" s="18" t="s">
        <v>59</v>
      </c>
      <c r="P8" s="29" t="s">
        <v>60</v>
      </c>
      <c r="Q8" s="28">
        <f t="shared" si="6"/>
        <v>19.713999999999999</v>
      </c>
      <c r="R8" t="str">
        <f t="shared" si="7"/>
        <v>先混匀后装瓶；不可直接装满摇匀</v>
      </c>
    </row>
    <row r="9" spans="1:18" ht="25.05" customHeight="1">
      <c r="A9" t="s">
        <v>67</v>
      </c>
      <c r="B9" t="s">
        <v>68</v>
      </c>
      <c r="C9" s="11">
        <v>20</v>
      </c>
      <c r="D9" s="11">
        <v>20</v>
      </c>
      <c r="E9" s="12">
        <v>0.87250000000000005</v>
      </c>
      <c r="F9" s="13">
        <v>0.97</v>
      </c>
      <c r="G9" s="14">
        <f t="shared" si="0"/>
        <v>472.6316722299353</v>
      </c>
      <c r="H9" s="17">
        <f t="shared" si="1"/>
        <v>473</v>
      </c>
      <c r="I9" s="11">
        <f t="shared" si="2"/>
        <v>20.015586250000002</v>
      </c>
      <c r="J9" s="15">
        <f t="shared" si="3"/>
        <v>0.97635000000000005</v>
      </c>
      <c r="K9" s="11">
        <f>SUM(IF(③四级吸取表!E9="主",③四级吸取表!F9,0),IF(③四级吸取表!G9="主",③四级吸取表!H9,0),IF(③四级吸取表!I9="主",③四级吸取表!J9,0),IF(③四级吸取表!K9="主",③四级吸取表!L9,0))*操作说明!$B$5/1000</f>
        <v>6.0208000000000004</v>
      </c>
      <c r="L9" s="11">
        <f>IFERROR(INDEX(②7瓶一次稀释液!$G$5:$G$11,MATCH(B9,②7瓶一次稀释液!$B$5:$B$11,0))/1000,0)</f>
        <v>2</v>
      </c>
      <c r="M9" s="11">
        <f t="shared" si="4"/>
        <v>8.0208000000000013</v>
      </c>
      <c r="N9" s="11">
        <f t="shared" si="5"/>
        <v>11.979199999999999</v>
      </c>
      <c r="O9" s="11" t="s">
        <v>59</v>
      </c>
      <c r="P9" s="4" t="s">
        <v>60</v>
      </c>
      <c r="Q9" s="28">
        <f t="shared" si="6"/>
        <v>19.527000000000001</v>
      </c>
      <c r="R9" t="str">
        <f t="shared" si="7"/>
        <v>先混匀后装瓶；不可直接装满摇匀</v>
      </c>
    </row>
    <row r="10" spans="1:18" ht="25.05" customHeight="1">
      <c r="A10" s="8" t="s">
        <v>69</v>
      </c>
      <c r="B10" s="8" t="s">
        <v>70</v>
      </c>
      <c r="C10" s="18">
        <v>17</v>
      </c>
      <c r="D10" s="18">
        <v>20</v>
      </c>
      <c r="E10" s="9">
        <v>0.86950000000000005</v>
      </c>
      <c r="F10" s="19">
        <v>0.97</v>
      </c>
      <c r="G10" s="20">
        <f t="shared" si="0"/>
        <v>403.12301773148448</v>
      </c>
      <c r="H10" s="17">
        <f t="shared" si="1"/>
        <v>403</v>
      </c>
      <c r="I10" s="18">
        <f t="shared" si="2"/>
        <v>16.994812250000003</v>
      </c>
      <c r="J10" s="21">
        <f t="shared" si="3"/>
        <v>0.97985</v>
      </c>
      <c r="K10" s="18">
        <f>SUM(IF(③四级吸取表!E10="主",③四级吸取表!F10,0),IF(③四级吸取表!G10="主",③四级吸取表!H10,0),IF(③四级吸取表!I10="主",③四级吸取表!J10,0),IF(③四级吸取表!K10="主",③四级吸取表!L10,0))*操作说明!$B$5/1000</f>
        <v>7.5568</v>
      </c>
      <c r="L10" s="18">
        <f>IFERROR(INDEX(②7瓶一次稀释液!$G$5:$G$11,MATCH(B10,②7瓶一次稀释液!$B$5:$B$11,0))/1000,0)</f>
        <v>0</v>
      </c>
      <c r="M10" s="18">
        <f t="shared" si="4"/>
        <v>7.5568</v>
      </c>
      <c r="N10" s="18">
        <f t="shared" si="5"/>
        <v>12.443200000000001</v>
      </c>
      <c r="O10" s="18" t="s">
        <v>59</v>
      </c>
      <c r="P10" s="29" t="s">
        <v>60</v>
      </c>
      <c r="Q10" s="28">
        <f t="shared" si="6"/>
        <v>19.597000000000001</v>
      </c>
      <c r="R10" t="str">
        <f t="shared" si="7"/>
        <v>先混匀后装瓶；不可直接装满摇匀</v>
      </c>
    </row>
    <row r="11" spans="1:18" ht="25.05" customHeight="1">
      <c r="A11" t="s">
        <v>71</v>
      </c>
      <c r="B11" t="s">
        <v>72</v>
      </c>
      <c r="C11" s="11">
        <v>2</v>
      </c>
      <c r="D11" s="11">
        <v>20</v>
      </c>
      <c r="E11" s="12">
        <v>0.86050000000000004</v>
      </c>
      <c r="F11" s="13">
        <v>0.97</v>
      </c>
      <c r="G11" s="14">
        <f t="shared" si="0"/>
        <v>47.92227007793359</v>
      </c>
      <c r="H11" s="17">
        <f t="shared" si="1"/>
        <v>48</v>
      </c>
      <c r="I11" s="11">
        <f t="shared" si="2"/>
        <v>2.003244</v>
      </c>
      <c r="J11" s="15">
        <f t="shared" si="3"/>
        <v>0.99760000000000004</v>
      </c>
      <c r="K11" s="11">
        <f>SUM(IF(③四级吸取表!E11="主",③四级吸取表!F11,0),IF(③四级吸取表!G11="主",③四级吸取表!H11,0),IF(③四级吸取表!I11="主",③四级吸取表!J11,0),IF(③四级吸取表!K11="主",③四级吸取表!L11,0))*操作说明!$B$5/1000</f>
        <v>9.6143999999999998</v>
      </c>
      <c r="L11" s="11">
        <f>IFERROR(INDEX(②7瓶一次稀释液!$G$5:$G$11,MATCH(B11,②7瓶一次稀释液!$B$5:$B$11,0))/1000,0)</f>
        <v>0</v>
      </c>
      <c r="M11" s="11">
        <f t="shared" si="4"/>
        <v>9.6143999999999998</v>
      </c>
      <c r="N11" s="11">
        <f t="shared" si="5"/>
        <v>10.3856</v>
      </c>
      <c r="O11" s="11" t="s">
        <v>59</v>
      </c>
      <c r="P11" s="4" t="s">
        <v>60</v>
      </c>
      <c r="Q11" s="28">
        <f t="shared" si="6"/>
        <v>19.952000000000002</v>
      </c>
      <c r="R11" t="str">
        <f t="shared" si="7"/>
        <v>先混匀后装瓶；不可直接装满摇匀</v>
      </c>
    </row>
    <row r="12" spans="1:18" ht="25.05" customHeight="1">
      <c r="A12" s="8" t="s">
        <v>73</v>
      </c>
      <c r="B12" s="8" t="s">
        <v>74</v>
      </c>
      <c r="C12" s="18">
        <v>40</v>
      </c>
      <c r="D12" s="18">
        <v>20</v>
      </c>
      <c r="E12" s="9">
        <v>0.873</v>
      </c>
      <c r="F12" s="19">
        <v>0.97</v>
      </c>
      <c r="G12" s="20">
        <f t="shared" si="0"/>
        <v>944.72195651917195</v>
      </c>
      <c r="H12" s="17">
        <f t="shared" si="1"/>
        <v>945</v>
      </c>
      <c r="I12" s="18">
        <f t="shared" si="2"/>
        <v>40.011772499999999</v>
      </c>
      <c r="J12" s="21">
        <f t="shared" si="3"/>
        <v>0.95274999999999999</v>
      </c>
      <c r="K12" s="18">
        <f>SUM(IF(③四级吸取表!E12="主",③四级吸取表!F12,0),IF(③四级吸取表!G12="主",③四级吸取表!H12,0),IF(③四级吸取表!I12="主",③四级吸取表!J12,0),IF(③四级吸取表!K12="主",③四级吸取表!L12,0))*操作说明!$B$5/1000</f>
        <v>3.8464</v>
      </c>
      <c r="L12" s="18">
        <f>IFERROR(INDEX(②7瓶一次稀释液!$G$5:$G$11,MATCH(B12,②7瓶一次稀释液!$B$5:$B$11,0))/1000,0)</f>
        <v>1</v>
      </c>
      <c r="M12" s="18">
        <f t="shared" si="4"/>
        <v>4.8464</v>
      </c>
      <c r="N12" s="18">
        <f t="shared" si="5"/>
        <v>15.153600000000001</v>
      </c>
      <c r="O12" s="18" t="s">
        <v>59</v>
      </c>
      <c r="P12" s="29" t="s">
        <v>60</v>
      </c>
      <c r="Q12" s="28">
        <f t="shared" si="6"/>
        <v>19.055</v>
      </c>
      <c r="R12" t="str">
        <f t="shared" si="7"/>
        <v>先混匀后装瓶；不可直接装满摇匀</v>
      </c>
    </row>
    <row r="13" spans="1:18" ht="25.05" customHeight="1">
      <c r="A13" t="s">
        <v>75</v>
      </c>
      <c r="B13" t="s">
        <v>76</v>
      </c>
      <c r="C13" s="11">
        <v>40</v>
      </c>
      <c r="D13" s="11">
        <v>20</v>
      </c>
      <c r="E13" s="12">
        <v>0.82650000000000001</v>
      </c>
      <c r="F13" s="13">
        <v>0.97</v>
      </c>
      <c r="G13" s="14">
        <f t="shared" si="0"/>
        <v>997.87328256653007</v>
      </c>
      <c r="H13" s="17">
        <f t="shared" si="1"/>
        <v>998</v>
      </c>
      <c r="I13" s="11">
        <f t="shared" si="2"/>
        <v>40.005079500000001</v>
      </c>
      <c r="J13" s="15">
        <f t="shared" si="3"/>
        <v>0.95009999999999994</v>
      </c>
      <c r="K13" s="11">
        <f>SUM(IF(③四级吸取表!E13="主",③四级吸取表!F13,0),IF(③四级吸取表!G13="主",③四级吸取表!H13,0),IF(③四级吸取表!I13="主",③四级吸取表!J13,0),IF(③四级吸取表!K13="主",③四级吸取表!L13,0))*操作说明!$B$5/1000</f>
        <v>7.1840000000000002</v>
      </c>
      <c r="L13" s="11">
        <f>IFERROR(INDEX(②7瓶一次稀释液!$G$5:$G$11,MATCH(B13,②7瓶一次稀释液!$B$5:$B$11,0))/1000,0)</f>
        <v>0</v>
      </c>
      <c r="M13" s="11">
        <f t="shared" si="4"/>
        <v>7.1840000000000002</v>
      </c>
      <c r="N13" s="11">
        <f t="shared" si="5"/>
        <v>12.815999999999999</v>
      </c>
      <c r="O13" s="11" t="s">
        <v>59</v>
      </c>
      <c r="P13" s="4" t="s">
        <v>60</v>
      </c>
      <c r="Q13" s="28">
        <f t="shared" si="6"/>
        <v>19.001999999999999</v>
      </c>
      <c r="R13" t="str">
        <f t="shared" si="7"/>
        <v>先混匀后装瓶；不可直接装满摇匀</v>
      </c>
    </row>
    <row r="14" spans="1:18" ht="25.05" customHeight="1">
      <c r="A14" s="8" t="s">
        <v>77</v>
      </c>
      <c r="B14" s="8" t="s">
        <v>78</v>
      </c>
      <c r="C14" s="18">
        <v>10</v>
      </c>
      <c r="D14" s="18">
        <v>20</v>
      </c>
      <c r="E14" s="9">
        <v>0.86499999999999999</v>
      </c>
      <c r="F14" s="19">
        <v>0.97</v>
      </c>
      <c r="G14" s="20">
        <f t="shared" si="0"/>
        <v>238.36481735295871</v>
      </c>
      <c r="H14" s="17">
        <f t="shared" si="1"/>
        <v>238</v>
      </c>
      <c r="I14" s="18">
        <f t="shared" si="2"/>
        <v>9.9846949999999985</v>
      </c>
      <c r="J14" s="21">
        <f t="shared" si="3"/>
        <v>0.98809999999999998</v>
      </c>
      <c r="K14" s="18">
        <f>SUM(IF(③四级吸取表!E14="主",③四级吸取表!F14,0),IF(③四级吸取表!G14="主",③四级吸取表!H14,0),IF(③四级吸取表!I14="主",③四级吸取表!J14,0),IF(③四级吸取表!K14="主",③四级吸取表!L14,0))*操作说明!$B$5/1000</f>
        <v>6.2031999999999998</v>
      </c>
      <c r="L14" s="18">
        <f>IFERROR(INDEX(②7瓶一次稀释液!$G$5:$G$11,MATCH(B14,②7瓶一次稀释液!$B$5:$B$11,0))/1000,0)</f>
        <v>2</v>
      </c>
      <c r="M14" s="18">
        <f t="shared" si="4"/>
        <v>8.2031999999999989</v>
      </c>
      <c r="N14" s="18">
        <f t="shared" si="5"/>
        <v>11.796800000000001</v>
      </c>
      <c r="O14" s="18" t="s">
        <v>59</v>
      </c>
      <c r="P14" s="29" t="s">
        <v>60</v>
      </c>
      <c r="Q14" s="28">
        <f t="shared" si="6"/>
        <v>19.762</v>
      </c>
      <c r="R14" t="str">
        <f t="shared" si="7"/>
        <v>先混匀后装瓶；不可直接装满摇匀</v>
      </c>
    </row>
    <row r="15" spans="1:18" ht="25.05" customHeight="1">
      <c r="A15" t="s">
        <v>79</v>
      </c>
      <c r="B15" t="s">
        <v>80</v>
      </c>
      <c r="C15" s="11">
        <v>4</v>
      </c>
      <c r="D15" s="11">
        <v>20</v>
      </c>
      <c r="E15" s="12">
        <v>0.86550000000000005</v>
      </c>
      <c r="F15" s="13">
        <v>0.97</v>
      </c>
      <c r="G15" s="14">
        <f t="shared" si="0"/>
        <v>95.290845527583713</v>
      </c>
      <c r="H15" s="17">
        <f t="shared" si="1"/>
        <v>95</v>
      </c>
      <c r="I15" s="11">
        <f t="shared" si="2"/>
        <v>3.9877912499999999</v>
      </c>
      <c r="J15" s="15">
        <f t="shared" si="3"/>
        <v>0.99524999999999997</v>
      </c>
      <c r="K15" s="11">
        <f>SUM(IF(③四级吸取表!E15="主",③四级吸取表!F15,0),IF(③四级吸取表!G15="主",③四级吸取表!H15,0),IF(③四级吸取表!I15="主",③四级吸取表!J15,0),IF(③四级吸取表!K15="主",③四级吸取表!L15,0))*操作说明!$B$5/1000</f>
        <v>7.28</v>
      </c>
      <c r="L15" s="11">
        <f>IFERROR(INDEX(②7瓶一次稀释液!$G$5:$G$11,MATCH(B15,②7瓶一次稀释液!$B$5:$B$11,0))/1000,0)</f>
        <v>0</v>
      </c>
      <c r="M15" s="11">
        <f t="shared" si="4"/>
        <v>7.28</v>
      </c>
      <c r="N15" s="11">
        <f t="shared" si="5"/>
        <v>12.719999999999999</v>
      </c>
      <c r="O15" s="11" t="s">
        <v>59</v>
      </c>
      <c r="P15" s="4" t="s">
        <v>60</v>
      </c>
      <c r="Q15" s="28">
        <f t="shared" si="6"/>
        <v>19.905000000000001</v>
      </c>
      <c r="R15" t="str">
        <f t="shared" si="7"/>
        <v>先混匀后装瓶；不可直接装满摇匀</v>
      </c>
    </row>
    <row r="16" spans="1:18" ht="25.05" customHeight="1">
      <c r="A16" s="8" t="s">
        <v>81</v>
      </c>
      <c r="B16" s="8" t="s">
        <v>82</v>
      </c>
      <c r="C16" s="18">
        <v>100</v>
      </c>
      <c r="D16" s="18">
        <v>20</v>
      </c>
      <c r="E16" s="9">
        <v>0.92549999999999999</v>
      </c>
      <c r="F16" s="19">
        <v>0.97</v>
      </c>
      <c r="G16" s="20">
        <f t="shared" si="0"/>
        <v>2227.8289250168482</v>
      </c>
      <c r="H16" s="17">
        <f t="shared" si="1"/>
        <v>2228</v>
      </c>
      <c r="I16" s="18">
        <f t="shared" si="2"/>
        <v>100.00767900000001</v>
      </c>
      <c r="J16" s="21">
        <f t="shared" si="3"/>
        <v>0.88860000000000006</v>
      </c>
      <c r="K16" s="18">
        <f>SUM(IF(③四级吸取表!E16="主",③四级吸取表!F16,0),IF(③四级吸取表!G16="主",③四级吸取表!H16,0),IF(③四级吸取表!I16="主",③四级吸取表!J16,0),IF(③四级吸取表!K16="主",③四级吸取表!L16,0))*操作说明!$B$5/1000</f>
        <v>7.4623999999999997</v>
      </c>
      <c r="L16" s="18">
        <f>IFERROR(INDEX(②7瓶一次稀释液!$G$5:$G$11,MATCH(B16,②7瓶一次稀释液!$B$5:$B$11,0))/1000,0)</f>
        <v>0</v>
      </c>
      <c r="M16" s="18">
        <f t="shared" si="4"/>
        <v>7.4623999999999997</v>
      </c>
      <c r="N16" s="18">
        <f t="shared" si="5"/>
        <v>12.537600000000001</v>
      </c>
      <c r="O16" s="18" t="s">
        <v>59</v>
      </c>
      <c r="P16" s="29" t="s">
        <v>60</v>
      </c>
      <c r="Q16" s="28">
        <f t="shared" si="6"/>
        <v>17.771999999999998</v>
      </c>
      <c r="R16" t="str">
        <f t="shared" si="7"/>
        <v>纯品P1000分次取；勿装满后才混匀</v>
      </c>
    </row>
    <row r="17" spans="1:18" ht="25.05" customHeight="1">
      <c r="A17" t="s">
        <v>83</v>
      </c>
      <c r="B17" t="s">
        <v>84</v>
      </c>
      <c r="C17" s="11">
        <v>6</v>
      </c>
      <c r="D17" s="11">
        <v>20</v>
      </c>
      <c r="E17" s="12">
        <v>0.94599999999999995</v>
      </c>
      <c r="F17" s="13">
        <v>0.97</v>
      </c>
      <c r="G17" s="14">
        <f t="shared" si="0"/>
        <v>130.77308689871626</v>
      </c>
      <c r="H17" s="17">
        <f t="shared" si="1"/>
        <v>131</v>
      </c>
      <c r="I17" s="11">
        <f t="shared" si="2"/>
        <v>6.0104109999999995</v>
      </c>
      <c r="J17" s="15">
        <f t="shared" si="3"/>
        <v>0.99344999999999994</v>
      </c>
      <c r="K17" s="11">
        <f>SUM(IF(③四级吸取表!E17="主",③四级吸取表!F17,0),IF(③四级吸取表!G17="主",③四级吸取表!H17,0),IF(③四级吸取表!I17="主",③四级吸取表!J17,0),IF(③四级吸取表!K17="主",③四级吸取表!L17,0))*操作说明!$B$5/1000</f>
        <v>7.9136000000000006</v>
      </c>
      <c r="L17" s="11">
        <f>IFERROR(INDEX(②7瓶一次稀释液!$G$5:$G$11,MATCH(B17,②7瓶一次稀释液!$B$5:$B$11,0))/1000,0)</f>
        <v>0</v>
      </c>
      <c r="M17" s="11">
        <f t="shared" si="4"/>
        <v>7.9136000000000006</v>
      </c>
      <c r="N17" s="11">
        <f t="shared" si="5"/>
        <v>12.086399999999999</v>
      </c>
      <c r="O17" s="11" t="s">
        <v>59</v>
      </c>
      <c r="P17" s="4" t="s">
        <v>60</v>
      </c>
      <c r="Q17" s="28">
        <f t="shared" si="6"/>
        <v>19.869</v>
      </c>
      <c r="R17" t="str">
        <f t="shared" si="7"/>
        <v>先混匀后装瓶；不可直接装满摇匀</v>
      </c>
    </row>
    <row r="18" spans="1:18" ht="25.05" customHeight="1">
      <c r="A18" s="8" t="s">
        <v>85</v>
      </c>
      <c r="B18" s="8" t="s">
        <v>86</v>
      </c>
      <c r="C18" s="18">
        <v>9.6</v>
      </c>
      <c r="D18" s="18">
        <v>20</v>
      </c>
      <c r="E18" s="9">
        <v>0.9375</v>
      </c>
      <c r="F18" s="19">
        <v>0.97</v>
      </c>
      <c r="G18" s="20">
        <f t="shared" si="0"/>
        <v>211.13402061855672</v>
      </c>
      <c r="H18" s="17">
        <f t="shared" si="1"/>
        <v>211</v>
      </c>
      <c r="I18" s="18">
        <f t="shared" si="2"/>
        <v>9.5939062499999999</v>
      </c>
      <c r="J18" s="21">
        <f t="shared" si="3"/>
        <v>0.98945000000000005</v>
      </c>
      <c r="K18" s="18">
        <f>SUM(IF(③四级吸取表!E18="主",③四级吸取表!F18,0),IF(③四级吸取表!G18="主",③四级吸取表!H18,0),IF(③四级吸取表!I18="主",③四级吸取表!J18,0),IF(③四级吸取表!K18="主",③四级吸取表!L18,0))*操作说明!$B$5/1000</f>
        <v>12.491199999999999</v>
      </c>
      <c r="L18" s="18">
        <f>IFERROR(INDEX(②7瓶一次稀释液!$G$5:$G$11,MATCH(B18,②7瓶一次稀释液!$B$5:$B$11,0))/1000,0)</f>
        <v>0</v>
      </c>
      <c r="M18" s="18">
        <f t="shared" si="4"/>
        <v>12.491199999999999</v>
      </c>
      <c r="N18" s="18">
        <f t="shared" si="5"/>
        <v>7.5088000000000008</v>
      </c>
      <c r="O18" s="18" t="s">
        <v>59</v>
      </c>
      <c r="P18" s="29" t="s">
        <v>60</v>
      </c>
      <c r="Q18" s="28">
        <f t="shared" si="6"/>
        <v>19.789000000000001</v>
      </c>
      <c r="R18" t="str">
        <f t="shared" si="7"/>
        <v>先混匀后装瓶；不可直接装满摇匀</v>
      </c>
    </row>
    <row r="19" spans="1:18" ht="25.05" customHeight="1">
      <c r="A19" t="s">
        <v>87</v>
      </c>
      <c r="B19" t="s">
        <v>88</v>
      </c>
      <c r="C19" s="11">
        <v>16</v>
      </c>
      <c r="D19" s="11">
        <v>20</v>
      </c>
      <c r="E19" s="12">
        <v>0.91</v>
      </c>
      <c r="F19" s="13">
        <v>0.97</v>
      </c>
      <c r="G19" s="14">
        <f t="shared" si="0"/>
        <v>362.52407386428001</v>
      </c>
      <c r="H19" s="17">
        <f t="shared" si="1"/>
        <v>363</v>
      </c>
      <c r="I19" s="11">
        <f t="shared" si="2"/>
        <v>16.021004999999999</v>
      </c>
      <c r="J19" s="15">
        <f t="shared" si="3"/>
        <v>0.98185</v>
      </c>
      <c r="K19" s="11">
        <f>SUM(IF(③四级吸取表!E19="主",③四级吸取表!F19,0),IF(③四级吸取表!G19="主",③四级吸取表!H19,0),IF(③四级吸取表!I19="主",③四级吸取表!J19,0),IF(③四级吸取表!K19="主",③四级吸取表!L19,0))*操作说明!$B$5/1000</f>
        <v>7.5295999999999994</v>
      </c>
      <c r="L19" s="11">
        <f>IFERROR(INDEX(②7瓶一次稀释液!$G$5:$G$11,MATCH(B19,②7瓶一次稀释液!$B$5:$B$11,0))/1000,0)</f>
        <v>0</v>
      </c>
      <c r="M19" s="11">
        <f t="shared" si="4"/>
        <v>7.5295999999999994</v>
      </c>
      <c r="N19" s="11">
        <f t="shared" si="5"/>
        <v>12.470400000000001</v>
      </c>
      <c r="O19" s="11" t="s">
        <v>59</v>
      </c>
      <c r="P19" s="4" t="s">
        <v>60</v>
      </c>
      <c r="Q19" s="28">
        <f t="shared" si="6"/>
        <v>19.637</v>
      </c>
      <c r="R19" t="str">
        <f t="shared" si="7"/>
        <v>先混匀后装瓶；不可直接装满摇匀</v>
      </c>
    </row>
    <row r="20" spans="1:18" ht="25.05" customHeight="1">
      <c r="A20" s="8" t="s">
        <v>89</v>
      </c>
      <c r="B20" s="8" t="s">
        <v>90</v>
      </c>
      <c r="C20" s="18">
        <v>10</v>
      </c>
      <c r="D20" s="18">
        <v>20</v>
      </c>
      <c r="E20" s="9">
        <v>0.91749999999999998</v>
      </c>
      <c r="F20" s="19">
        <v>0.97</v>
      </c>
      <c r="G20" s="20">
        <f t="shared" si="0"/>
        <v>224.72541363521449</v>
      </c>
      <c r="H20" s="17">
        <f t="shared" si="1"/>
        <v>225</v>
      </c>
      <c r="I20" s="18">
        <f t="shared" si="2"/>
        <v>10.012218749999999</v>
      </c>
      <c r="J20" s="21">
        <f t="shared" si="3"/>
        <v>0.98875000000000002</v>
      </c>
      <c r="K20" s="18">
        <f>SUM(IF(③四级吸取表!E20="主",③四级吸取表!F20,0),IF(③四级吸取表!G20="主",③四级吸取表!H20,0),IF(③四级吸取表!I20="主",③四级吸取表!J20,0),IF(③四级吸取表!K20="主",③四级吸取表!L20,0))*操作说明!$B$5/1000</f>
        <v>5.5679999999999996</v>
      </c>
      <c r="L20" s="18">
        <f>IFERROR(INDEX(②7瓶一次稀释液!$G$5:$G$11,MATCH(B20,②7瓶一次稀释液!$B$5:$B$11,0))/1000,0)</f>
        <v>0</v>
      </c>
      <c r="M20" s="18">
        <f t="shared" si="4"/>
        <v>5.5679999999999996</v>
      </c>
      <c r="N20" s="18">
        <f t="shared" si="5"/>
        <v>14.432</v>
      </c>
      <c r="O20" s="18" t="s">
        <v>59</v>
      </c>
      <c r="P20" s="29" t="s">
        <v>60</v>
      </c>
      <c r="Q20" s="28">
        <f t="shared" si="6"/>
        <v>19.774999999999999</v>
      </c>
      <c r="R20" t="str">
        <f t="shared" si="7"/>
        <v>先混匀后装瓶；不可直接装满摇匀</v>
      </c>
    </row>
    <row r="21" spans="1:18" ht="25.05" customHeight="1">
      <c r="A21" t="s">
        <v>91</v>
      </c>
      <c r="B21" t="s">
        <v>92</v>
      </c>
      <c r="C21" s="11">
        <v>30</v>
      </c>
      <c r="D21" s="11">
        <v>20</v>
      </c>
      <c r="E21" s="12">
        <v>0.95399999999999996</v>
      </c>
      <c r="F21" s="13">
        <v>0.97</v>
      </c>
      <c r="G21" s="14">
        <f t="shared" si="0"/>
        <v>648.38228619594111</v>
      </c>
      <c r="H21" s="17">
        <f t="shared" si="1"/>
        <v>648</v>
      </c>
      <c r="I21" s="11">
        <f t="shared" si="2"/>
        <v>29.982312</v>
      </c>
      <c r="J21" s="15">
        <f t="shared" si="3"/>
        <v>0.96760000000000002</v>
      </c>
      <c r="K21" s="11">
        <f>SUM(IF(③四级吸取表!E21="主",③四级吸取表!F21,0),IF(③四级吸取表!G21="主",③四级吸取表!H21,0),IF(③四级吸取表!I21="主",③四级吸取表!J21,0),IF(③四级吸取表!K21="主",③四级吸取表!L21,0))*操作说明!$B$5/1000</f>
        <v>7.6495999999999995</v>
      </c>
      <c r="L21" s="11">
        <f>IFERROR(INDEX(②7瓶一次稀释液!$G$5:$G$11,MATCH(B21,②7瓶一次稀释液!$B$5:$B$11,0))/1000,0)</f>
        <v>0</v>
      </c>
      <c r="M21" s="11">
        <f t="shared" si="4"/>
        <v>7.6495999999999995</v>
      </c>
      <c r="N21" s="11">
        <f t="shared" si="5"/>
        <v>12.3504</v>
      </c>
      <c r="O21" s="11" t="s">
        <v>59</v>
      </c>
      <c r="P21" s="4" t="s">
        <v>60</v>
      </c>
      <c r="Q21" s="28">
        <f t="shared" si="6"/>
        <v>19.352</v>
      </c>
      <c r="R21" t="str">
        <f t="shared" si="7"/>
        <v>先混匀后装瓶；不可直接装满摇匀</v>
      </c>
    </row>
    <row r="22" spans="1:18" ht="25.05" customHeight="1">
      <c r="A22" s="8" t="s">
        <v>93</v>
      </c>
      <c r="B22" s="8" t="s">
        <v>94</v>
      </c>
      <c r="C22" s="18">
        <v>150</v>
      </c>
      <c r="D22" s="18">
        <v>20</v>
      </c>
      <c r="E22" s="9">
        <v>1.0489999999999999</v>
      </c>
      <c r="F22" s="19">
        <v>0.97</v>
      </c>
      <c r="G22" s="20">
        <f t="shared" si="0"/>
        <v>2948.3160201664823</v>
      </c>
      <c r="H22" s="17">
        <f t="shared" si="1"/>
        <v>2948</v>
      </c>
      <c r="I22" s="18">
        <f t="shared" si="2"/>
        <v>149.98392199999998</v>
      </c>
      <c r="J22" s="21">
        <f t="shared" si="3"/>
        <v>0.85260000000000002</v>
      </c>
      <c r="K22" s="18">
        <f>SUM(IF(③四级吸取表!E22="主",③四级吸取表!F22,0),IF(③四级吸取表!G22="主",③四级吸取表!H22,0),IF(③四级吸取表!I22="主",③四级吸取表!J22,0),IF(③四级吸取表!K22="主",③四级吸取表!L22,0))*操作说明!$B$5/1000</f>
        <v>7.3904000000000005</v>
      </c>
      <c r="L22" s="18">
        <f>IFERROR(INDEX(②7瓶一次稀释液!$G$5:$G$11,MATCH(B22,②7瓶一次稀释液!$B$5:$B$11,0))/1000,0)</f>
        <v>0</v>
      </c>
      <c r="M22" s="18">
        <f t="shared" si="4"/>
        <v>7.3904000000000005</v>
      </c>
      <c r="N22" s="18">
        <f t="shared" si="5"/>
        <v>12.6096</v>
      </c>
      <c r="O22" s="18" t="s">
        <v>59</v>
      </c>
      <c r="P22" s="29" t="s">
        <v>60</v>
      </c>
      <c r="Q22" s="28">
        <f t="shared" si="6"/>
        <v>17.052</v>
      </c>
      <c r="R22" t="str">
        <f t="shared" si="7"/>
        <v>纯品P1000分次取；勿装满后才混匀</v>
      </c>
    </row>
    <row r="23" spans="1:18" ht="25.05" customHeight="1">
      <c r="A23" t="s">
        <v>95</v>
      </c>
      <c r="B23" s="41" t="s">
        <v>222</v>
      </c>
      <c r="C23" s="11">
        <v>3</v>
      </c>
      <c r="D23" s="11">
        <v>20</v>
      </c>
      <c r="E23" s="12">
        <v>0.92549999999999999</v>
      </c>
      <c r="F23" s="13">
        <v>0.97</v>
      </c>
      <c r="G23" s="14">
        <f t="shared" si="0"/>
        <v>66.834867750505438</v>
      </c>
      <c r="H23" s="17">
        <f t="shared" si="1"/>
        <v>67</v>
      </c>
      <c r="I23" s="11">
        <f t="shared" si="2"/>
        <v>3.0074122499999998</v>
      </c>
      <c r="J23" s="15">
        <f t="shared" si="3"/>
        <v>0.99665000000000004</v>
      </c>
      <c r="K23" s="11">
        <f>SUM(IF(③四级吸取表!E23="主",③四级吸取表!F23,0),IF(③四级吸取表!G23="主",③四级吸取表!H23,0),IF(③四级吸取表!I23="主",③四级吸取表!J23,0),IF(③四级吸取表!K23="主",③四级吸取表!L23,0))*操作说明!$B$5/1000</f>
        <v>5.5184000000000006</v>
      </c>
      <c r="L23" s="11">
        <f>IFERROR(INDEX(②7瓶一次稀释液!$G$5:$G$11,MATCH(B23,②7瓶一次稀释液!$B$5:$B$11,0))/1000,0)</f>
        <v>0</v>
      </c>
      <c r="M23" s="11">
        <f t="shared" si="4"/>
        <v>5.5184000000000006</v>
      </c>
      <c r="N23" s="11">
        <f t="shared" si="5"/>
        <v>14.4816</v>
      </c>
      <c r="O23" s="11" t="s">
        <v>59</v>
      </c>
      <c r="P23" s="4" t="s">
        <v>60</v>
      </c>
      <c r="Q23" s="28">
        <f t="shared" si="6"/>
        <v>19.933</v>
      </c>
      <c r="R23" t="str">
        <f t="shared" si="7"/>
        <v>先混匀后装瓶；不可直接装满摇匀</v>
      </c>
    </row>
    <row r="24" spans="1:18" ht="25.05" customHeight="1">
      <c r="A24" s="8" t="s">
        <v>97</v>
      </c>
      <c r="B24" s="8" t="s">
        <v>98</v>
      </c>
      <c r="C24" s="18">
        <v>9</v>
      </c>
      <c r="D24" s="18">
        <v>20</v>
      </c>
      <c r="E24" s="9">
        <v>0.85899999999999999</v>
      </c>
      <c r="F24" s="19">
        <v>0.97</v>
      </c>
      <c r="G24" s="20">
        <f t="shared" si="0"/>
        <v>216.02678732162789</v>
      </c>
      <c r="H24" s="17">
        <f t="shared" si="1"/>
        <v>216</v>
      </c>
      <c r="I24" s="18">
        <f t="shared" si="2"/>
        <v>8.9988840000000003</v>
      </c>
      <c r="J24" s="21">
        <f t="shared" si="3"/>
        <v>0.98919999999999997</v>
      </c>
      <c r="K24" s="18">
        <f>SUM(IF(③四级吸取表!E24="主",③四级吸取表!F24,0),IF(③四级吸取表!G24="主",③四级吸取表!H24,0),IF(③四级吸取表!I24="主",③四级吸取表!J24,0),IF(③四级吸取表!K24="主",③四级吸取表!L24,0))*操作说明!$B$5/1000</f>
        <v>7.7824</v>
      </c>
      <c r="L24" s="18">
        <f>IFERROR(INDEX(②7瓶一次稀释液!$G$5:$G$11,MATCH(B24,②7瓶一次稀释液!$B$5:$B$11,0))/1000,0)</f>
        <v>0</v>
      </c>
      <c r="M24" s="18">
        <f t="shared" si="4"/>
        <v>7.7824</v>
      </c>
      <c r="N24" s="18">
        <f t="shared" si="5"/>
        <v>12.217600000000001</v>
      </c>
      <c r="O24" s="18" t="s">
        <v>59</v>
      </c>
      <c r="P24" s="29" t="s">
        <v>60</v>
      </c>
      <c r="Q24" s="28">
        <f t="shared" si="6"/>
        <v>19.783999999999999</v>
      </c>
      <c r="R24" t="str">
        <f t="shared" si="7"/>
        <v>先混匀后装瓶；不可直接装满摇匀</v>
      </c>
    </row>
    <row r="25" spans="1:18" ht="25.05" customHeight="1">
      <c r="A25" t="s">
        <v>99</v>
      </c>
      <c r="B25" t="s">
        <v>100</v>
      </c>
      <c r="C25" s="11">
        <v>20</v>
      </c>
      <c r="D25" s="11">
        <v>20</v>
      </c>
      <c r="E25" s="12">
        <v>1.0295000000000001</v>
      </c>
      <c r="F25" s="13">
        <v>0.97</v>
      </c>
      <c r="G25" s="14">
        <f t="shared" si="0"/>
        <v>400.55476835417051</v>
      </c>
      <c r="H25" s="17">
        <f t="shared" si="1"/>
        <v>401</v>
      </c>
      <c r="I25" s="11">
        <f t="shared" si="2"/>
        <v>20.022230750000002</v>
      </c>
      <c r="J25" s="15">
        <f t="shared" si="3"/>
        <v>0.97994999999999999</v>
      </c>
      <c r="K25" s="11">
        <f>SUM(IF(③四级吸取表!E25="主",③四级吸取表!F25,0),IF(③四级吸取表!G25="主",③四级吸取表!H25,0),IF(③四级吸取表!I25="主",③四级吸取表!J25,0),IF(③四级吸取表!K25="主",③四级吸取表!L25,0))*操作说明!$B$5/1000</f>
        <v>5.7071999999999994</v>
      </c>
      <c r="L25" s="11">
        <f>IFERROR(INDEX(②7瓶一次稀释液!$G$5:$G$11,MATCH(B25,②7瓶一次稀释液!$B$5:$B$11,0))/1000,0)</f>
        <v>1</v>
      </c>
      <c r="M25" s="11">
        <f t="shared" si="4"/>
        <v>6.7071999999999994</v>
      </c>
      <c r="N25" s="11">
        <f t="shared" si="5"/>
        <v>13.2928</v>
      </c>
      <c r="O25" s="11" t="s">
        <v>59</v>
      </c>
      <c r="P25" s="4" t="s">
        <v>60</v>
      </c>
      <c r="Q25" s="28">
        <f t="shared" si="6"/>
        <v>19.599</v>
      </c>
      <c r="R25" t="str">
        <f t="shared" si="7"/>
        <v>先混匀后装瓶；不可直接装满摇匀</v>
      </c>
    </row>
    <row r="26" spans="1:18" ht="25.05" customHeight="1">
      <c r="A26" s="8" t="s">
        <v>101</v>
      </c>
      <c r="B26" s="8" t="s">
        <v>102</v>
      </c>
      <c r="C26" s="18">
        <v>40</v>
      </c>
      <c r="D26" s="18">
        <v>20</v>
      </c>
      <c r="E26" s="9">
        <v>0.80800000000000005</v>
      </c>
      <c r="F26" s="19">
        <v>0.97</v>
      </c>
      <c r="G26" s="20">
        <f t="shared" si="0"/>
        <v>1020.7206287639073</v>
      </c>
      <c r="H26" s="17">
        <f t="shared" si="1"/>
        <v>1021</v>
      </c>
      <c r="I26" s="18">
        <f t="shared" si="2"/>
        <v>40.010947999999999</v>
      </c>
      <c r="J26" s="21">
        <f t="shared" si="3"/>
        <v>0.94894999999999996</v>
      </c>
      <c r="K26" s="18">
        <f>SUM(IF(③四级吸取表!E26="主",③四级吸取表!F26,0),IF(③四级吸取表!G26="主",③四级吸取表!H26,0),IF(③四级吸取表!I26="主",③四级吸取表!J26,0),IF(③四级吸取表!K26="主",③四级吸取表!L26,0))*操作说明!$B$5/1000</f>
        <v>4.8064</v>
      </c>
      <c r="L26" s="18">
        <f>IFERROR(INDEX(②7瓶一次稀释液!$G$5:$G$11,MATCH(B26,②7瓶一次稀释液!$B$5:$B$11,0))/1000,0)</f>
        <v>1</v>
      </c>
      <c r="M26" s="18">
        <f t="shared" si="4"/>
        <v>5.8064</v>
      </c>
      <c r="N26" s="18">
        <f t="shared" si="5"/>
        <v>14.1936</v>
      </c>
      <c r="O26" s="18" t="s">
        <v>59</v>
      </c>
      <c r="P26" s="29" t="s">
        <v>60</v>
      </c>
      <c r="Q26" s="28">
        <f t="shared" si="6"/>
        <v>18.978999999999999</v>
      </c>
      <c r="R26" t="str">
        <f t="shared" si="7"/>
        <v>纯品P1000分次取；勿装满后才混匀</v>
      </c>
    </row>
    <row r="27" spans="1:18" ht="25.05" customHeight="1">
      <c r="A27" t="s">
        <v>103</v>
      </c>
      <c r="B27" t="s">
        <v>104</v>
      </c>
      <c r="C27" s="11">
        <v>20</v>
      </c>
      <c r="D27" s="11">
        <v>20</v>
      </c>
      <c r="E27" s="12">
        <v>0.81850000000000001</v>
      </c>
      <c r="F27" s="13">
        <v>0.97</v>
      </c>
      <c r="G27" s="14">
        <f t="shared" si="0"/>
        <v>503.81323643325419</v>
      </c>
      <c r="H27" s="17">
        <f t="shared" si="1"/>
        <v>504</v>
      </c>
      <c r="I27" s="11">
        <f t="shared" si="2"/>
        <v>20.007414000000001</v>
      </c>
      <c r="J27" s="15">
        <f t="shared" si="3"/>
        <v>0.9748</v>
      </c>
      <c r="K27" s="11">
        <f>SUM(IF(③四级吸取表!E27="主",③四级吸取表!F27,0),IF(③四级吸取表!G27="主",③四级吸取表!H27,0),IF(③四级吸取表!I27="主",③四级吸取表!J27,0),IF(③四级吸取表!K27="主",③四级吸取表!L27,0))*操作说明!$B$5/1000</f>
        <v>7.7247999999999992</v>
      </c>
      <c r="L27" s="11">
        <f>IFERROR(INDEX(②7瓶一次稀释液!$G$5:$G$11,MATCH(B27,②7瓶一次稀释液!$B$5:$B$11,0))/1000,0)</f>
        <v>0</v>
      </c>
      <c r="M27" s="11">
        <f t="shared" si="4"/>
        <v>7.7247999999999992</v>
      </c>
      <c r="N27" s="11">
        <f t="shared" si="5"/>
        <v>12.275200000000002</v>
      </c>
      <c r="O27" s="11" t="s">
        <v>59</v>
      </c>
      <c r="P27" s="4" t="s">
        <v>60</v>
      </c>
      <c r="Q27" s="28">
        <f t="shared" si="6"/>
        <v>19.495999999999999</v>
      </c>
      <c r="R27" t="str">
        <f t="shared" si="7"/>
        <v>先混匀后装瓶；不可直接装满摇匀</v>
      </c>
    </row>
    <row r="28" spans="1:18" ht="25.05" customHeight="1">
      <c r="A28" s="8" t="s">
        <v>105</v>
      </c>
      <c r="B28" s="8" t="s">
        <v>106</v>
      </c>
      <c r="C28" s="18">
        <v>5.2</v>
      </c>
      <c r="D28" s="18">
        <v>20</v>
      </c>
      <c r="E28" s="9">
        <v>0.86499999999999999</v>
      </c>
      <c r="F28" s="19">
        <v>0.97</v>
      </c>
      <c r="G28" s="20">
        <f t="shared" si="0"/>
        <v>123.94970502353853</v>
      </c>
      <c r="H28" s="17">
        <f t="shared" si="1"/>
        <v>124</v>
      </c>
      <c r="I28" s="18">
        <f t="shared" si="2"/>
        <v>5.2021100000000002</v>
      </c>
      <c r="J28" s="21">
        <f t="shared" si="3"/>
        <v>0.99380000000000002</v>
      </c>
      <c r="K28" s="18">
        <f>SUM(IF(③四级吸取表!E28="主",③四级吸取表!F28,0),IF(③四级吸取表!G28="主",③四级吸取表!H28,0),IF(③四级吸取表!I28="主",③四级吸取表!J28,0),IF(③四级吸取表!K28="主",③四级吸取表!L28,0))*操作说明!$B$5/1000</f>
        <v>8.1952000000000016</v>
      </c>
      <c r="L28" s="18">
        <f>IFERROR(INDEX(②7瓶一次稀释液!$G$5:$G$11,MATCH(B28,②7瓶一次稀释液!$B$5:$B$11,0))/1000,0)</f>
        <v>0</v>
      </c>
      <c r="M28" s="18">
        <f t="shared" si="4"/>
        <v>8.1952000000000016</v>
      </c>
      <c r="N28" s="18">
        <f t="shared" si="5"/>
        <v>11.804799999999998</v>
      </c>
      <c r="O28" s="18" t="s">
        <v>59</v>
      </c>
      <c r="P28" s="29" t="s">
        <v>60</v>
      </c>
      <c r="Q28" s="28">
        <f t="shared" si="6"/>
        <v>19.876000000000001</v>
      </c>
      <c r="R28" t="str">
        <f t="shared" si="7"/>
        <v>先混匀后装瓶；不可直接装满摇匀</v>
      </c>
    </row>
  </sheetData>
  <mergeCells count="2">
    <mergeCell ref="A1:P1"/>
    <mergeCell ref="A3:P3"/>
  </mergeCells>
  <phoneticPr fontId="6" type="noConversion"/>
  <conditionalFormatting sqref="N5:N28">
    <cfRule type="cellIs" dxfId="0" priority="1" operator="lessThan">
      <formula>0</formula>
    </cfRule>
  </conditionalFormatting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>
      <pane ySplit="4" topLeftCell="A5" activePane="bottomLeft" state="frozen"/>
      <selection pane="bottomLeft" activeCell="L1" sqref="K1:L1048576"/>
    </sheetView>
  </sheetViews>
  <sheetFormatPr defaultRowHeight="13.8"/>
  <cols>
    <col min="1" max="1" width="12" customWidth="1"/>
    <col min="2" max="2" width="10.3984375" bestFit="1" customWidth="1"/>
    <col min="3" max="3" width="12" bestFit="1" customWidth="1"/>
    <col min="4" max="4" width="8.19921875" bestFit="1" customWidth="1"/>
    <col min="5" max="5" width="13.796875" hidden="1" customWidth="1"/>
    <col min="6" max="6" width="10.69921875" hidden="1" customWidth="1"/>
    <col min="7" max="7" width="19" customWidth="1"/>
    <col min="8" max="8" width="49" hidden="1" customWidth="1"/>
    <col min="9" max="9" width="25" hidden="1" customWidth="1"/>
    <col min="10" max="10" width="16" hidden="1" customWidth="1"/>
    <col min="11" max="11" width="21" hidden="1" customWidth="1"/>
    <col min="12" max="12" width="23" hidden="1" customWidth="1"/>
    <col min="13" max="13" width="44" customWidth="1"/>
  </cols>
  <sheetData>
    <row r="1" spans="1:13" ht="37.950000000000003" hidden="1" customHeight="1">
      <c r="A1" s="33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3" hidden="1"/>
    <row r="3" spans="1:13" ht="36" hidden="1" customHeight="1">
      <c r="A3" s="38" t="s">
        <v>107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3" ht="46.95" customHeight="1">
      <c r="A4" s="7" t="s">
        <v>108</v>
      </c>
      <c r="B4" s="7" t="s">
        <v>40</v>
      </c>
      <c r="C4" s="7" t="s">
        <v>109</v>
      </c>
      <c r="D4" s="7" t="s">
        <v>110</v>
      </c>
      <c r="E4" s="7" t="s">
        <v>111</v>
      </c>
      <c r="F4" s="7" t="s">
        <v>112</v>
      </c>
      <c r="G4" s="7" t="s">
        <v>113</v>
      </c>
      <c r="H4" s="7" t="s">
        <v>114</v>
      </c>
      <c r="I4" s="7" t="s">
        <v>115</v>
      </c>
      <c r="J4" s="7" t="s">
        <v>116</v>
      </c>
      <c r="K4" s="7" t="s">
        <v>117</v>
      </c>
      <c r="L4" s="27" t="s">
        <v>55</v>
      </c>
      <c r="M4" s="27" t="s">
        <v>118</v>
      </c>
    </row>
    <row r="5" spans="1:13" ht="25.05" customHeight="1">
      <c r="A5" t="s">
        <v>119</v>
      </c>
      <c r="B5" t="s">
        <v>58</v>
      </c>
      <c r="C5" s="11">
        <f>①24瓶主母液_纯品μL!I5</f>
        <v>30.003264000000001</v>
      </c>
      <c r="D5" s="11">
        <v>100</v>
      </c>
      <c r="E5" s="11">
        <f t="shared" ref="E5:E11" si="0">C5/D5</f>
        <v>0.30003264000000002</v>
      </c>
      <c r="F5" s="11">
        <v>20</v>
      </c>
      <c r="G5" s="24">
        <f t="shared" ref="G5:G11" si="1">1000*F5/D5</f>
        <v>200</v>
      </c>
      <c r="H5" t="s">
        <v>120</v>
      </c>
      <c r="I5" s="22">
        <f>(③四级吸取表!H5+③四级吸取表!J5+③四级吸取表!L5)*操作说明!$B$5/1000</f>
        <v>3.0351999999999997</v>
      </c>
      <c r="J5" s="22">
        <f t="shared" ref="J5:J11" si="2">F5-I5</f>
        <v>16.9648</v>
      </c>
      <c r="K5" t="s">
        <v>59</v>
      </c>
      <c r="L5" s="28">
        <f t="shared" ref="L5:L11" si="3">F5-G5/1000</f>
        <v>19.8</v>
      </c>
      <c r="M5" t="str">
        <f t="shared" ref="M5:M11" si="4">IF(G5&gt;1000,"P1000分次取主液；乙醇两次量取","主液1次吸取；乙醇用量筒分次加入")</f>
        <v>主液1次吸取；乙醇用量筒分次加入</v>
      </c>
    </row>
    <row r="6" spans="1:13" ht="25.05" customHeight="1">
      <c r="A6" s="8" t="s">
        <v>121</v>
      </c>
      <c r="B6" s="8" t="s">
        <v>62</v>
      </c>
      <c r="C6" s="18">
        <f>①24瓶主母液_纯品μL!I6</f>
        <v>47.999261750000002</v>
      </c>
      <c r="D6" s="18">
        <v>5</v>
      </c>
      <c r="E6" s="18">
        <f t="shared" si="0"/>
        <v>9.5998523500000008</v>
      </c>
      <c r="F6" s="18">
        <v>20</v>
      </c>
      <c r="G6" s="24">
        <f t="shared" si="1"/>
        <v>4000</v>
      </c>
      <c r="H6" s="8" t="s">
        <v>120</v>
      </c>
      <c r="I6" s="23">
        <f>(③四级吸取表!H6+③四级吸取表!J6+③四级吸取表!L6)*操作说明!$B$5/1000</f>
        <v>2.6880000000000002</v>
      </c>
      <c r="J6" s="23">
        <f t="shared" si="2"/>
        <v>17.312000000000001</v>
      </c>
      <c r="K6" s="8" t="s">
        <v>59</v>
      </c>
      <c r="L6" s="28">
        <f t="shared" si="3"/>
        <v>16</v>
      </c>
      <c r="M6" t="str">
        <f t="shared" si="4"/>
        <v>P1000分次取主液；乙醇两次量取</v>
      </c>
    </row>
    <row r="7" spans="1:13" ht="25.05" customHeight="1">
      <c r="A7" t="s">
        <v>122</v>
      </c>
      <c r="B7" t="s">
        <v>68</v>
      </c>
      <c r="C7" s="11">
        <f>①24瓶主母液_纯品μL!I9</f>
        <v>20.015586250000002</v>
      </c>
      <c r="D7" s="11">
        <v>10</v>
      </c>
      <c r="E7" s="11">
        <f t="shared" si="0"/>
        <v>2.0015586250000004</v>
      </c>
      <c r="F7" s="11">
        <v>20</v>
      </c>
      <c r="G7" s="24">
        <f t="shared" si="1"/>
        <v>2000</v>
      </c>
      <c r="H7" t="s">
        <v>120</v>
      </c>
      <c r="I7" s="22">
        <f>(③四级吸取表!H9+③四级吸取表!J9+③四级吸取表!L9)*操作说明!$B$5/1000</f>
        <v>2.6688000000000001</v>
      </c>
      <c r="J7" s="22">
        <f t="shared" si="2"/>
        <v>17.331199999999999</v>
      </c>
      <c r="K7" t="s">
        <v>59</v>
      </c>
      <c r="L7" s="28">
        <f t="shared" si="3"/>
        <v>18</v>
      </c>
      <c r="M7" t="str">
        <f t="shared" si="4"/>
        <v>P1000分次取主液；乙醇两次量取</v>
      </c>
    </row>
    <row r="8" spans="1:13" ht="25.05" customHeight="1">
      <c r="A8" s="8" t="s">
        <v>123</v>
      </c>
      <c r="B8" s="8" t="s">
        <v>74</v>
      </c>
      <c r="C8" s="18">
        <f>①24瓶主母液_纯品μL!I12</f>
        <v>40.011772499999999</v>
      </c>
      <c r="D8" s="18">
        <v>20</v>
      </c>
      <c r="E8" s="18">
        <f t="shared" si="0"/>
        <v>2.0005886249999998</v>
      </c>
      <c r="F8" s="18">
        <v>20</v>
      </c>
      <c r="G8" s="24">
        <f t="shared" si="1"/>
        <v>1000</v>
      </c>
      <c r="H8" s="8" t="s">
        <v>120</v>
      </c>
      <c r="I8" s="23">
        <f>(③四级吸取表!H12+③四级吸取表!J12+③四级吸取表!L12)*操作说明!$B$5/1000</f>
        <v>2.7551999999999999</v>
      </c>
      <c r="J8" s="23">
        <f t="shared" si="2"/>
        <v>17.244800000000001</v>
      </c>
      <c r="K8" s="8" t="s">
        <v>59</v>
      </c>
      <c r="L8" s="28">
        <f t="shared" si="3"/>
        <v>19</v>
      </c>
      <c r="M8" t="str">
        <f t="shared" si="4"/>
        <v>主液1次吸取；乙醇用量筒分次加入</v>
      </c>
    </row>
    <row r="9" spans="1:13" ht="25.05" customHeight="1">
      <c r="A9" t="s">
        <v>124</v>
      </c>
      <c r="B9" t="s">
        <v>78</v>
      </c>
      <c r="C9" s="11">
        <f>①24瓶主母液_纯品μL!I14</f>
        <v>9.9846949999999985</v>
      </c>
      <c r="D9" s="11">
        <v>10</v>
      </c>
      <c r="E9" s="11">
        <f t="shared" si="0"/>
        <v>0.9984694999999999</v>
      </c>
      <c r="F9" s="11">
        <v>20</v>
      </c>
      <c r="G9" s="24">
        <f t="shared" si="1"/>
        <v>2000</v>
      </c>
      <c r="H9" t="s">
        <v>120</v>
      </c>
      <c r="I9" s="22">
        <f>(③四级吸取表!H14+③四级吸取表!J14+③四级吸取表!L14)*操作说明!$B$5/1000</f>
        <v>2.2511999999999999</v>
      </c>
      <c r="J9" s="22">
        <f t="shared" si="2"/>
        <v>17.748799999999999</v>
      </c>
      <c r="K9" t="s">
        <v>59</v>
      </c>
      <c r="L9" s="28">
        <f t="shared" si="3"/>
        <v>18</v>
      </c>
      <c r="M9" t="str">
        <f t="shared" si="4"/>
        <v>P1000分次取主液；乙醇两次量取</v>
      </c>
    </row>
    <row r="10" spans="1:13" ht="25.05" customHeight="1">
      <c r="A10" s="8" t="s">
        <v>125</v>
      </c>
      <c r="B10" s="8" t="s">
        <v>100</v>
      </c>
      <c r="C10" s="18">
        <f>①24瓶主母液_纯品μL!I25</f>
        <v>20.022230750000002</v>
      </c>
      <c r="D10" s="18">
        <v>20</v>
      </c>
      <c r="E10" s="18">
        <f t="shared" si="0"/>
        <v>1.0011115375000001</v>
      </c>
      <c r="F10" s="18">
        <v>20</v>
      </c>
      <c r="G10" s="24">
        <f t="shared" si="1"/>
        <v>1000</v>
      </c>
      <c r="H10" s="8" t="s">
        <v>120</v>
      </c>
      <c r="I10" s="23">
        <f>(③四级吸取表!H25+③四级吸取表!J25+③四级吸取表!L25)*操作说明!$B$5/1000</f>
        <v>2.9456000000000002</v>
      </c>
      <c r="J10" s="23">
        <f t="shared" si="2"/>
        <v>17.054400000000001</v>
      </c>
      <c r="K10" s="8" t="s">
        <v>59</v>
      </c>
      <c r="L10" s="28">
        <f t="shared" si="3"/>
        <v>19</v>
      </c>
      <c r="M10" t="str">
        <f t="shared" si="4"/>
        <v>主液1次吸取；乙醇用量筒分次加入</v>
      </c>
    </row>
    <row r="11" spans="1:13" ht="25.05" customHeight="1">
      <c r="A11" t="s">
        <v>126</v>
      </c>
      <c r="B11" t="s">
        <v>102</v>
      </c>
      <c r="C11" s="11">
        <f>①24瓶主母液_纯品μL!I26</f>
        <v>40.010947999999999</v>
      </c>
      <c r="D11" s="11">
        <v>20</v>
      </c>
      <c r="E11" s="11">
        <f t="shared" si="0"/>
        <v>2.0005473999999999</v>
      </c>
      <c r="F11" s="11">
        <v>20</v>
      </c>
      <c r="G11" s="24">
        <f t="shared" si="1"/>
        <v>1000</v>
      </c>
      <c r="H11" t="s">
        <v>120</v>
      </c>
      <c r="I11" s="22">
        <f>(③四级吸取表!J26)*操作说明!$B$5/1000</f>
        <v>0.20480000000000001</v>
      </c>
      <c r="J11" s="22">
        <f t="shared" si="2"/>
        <v>19.795200000000001</v>
      </c>
      <c r="K11" t="s">
        <v>59</v>
      </c>
      <c r="L11" s="28">
        <f t="shared" si="3"/>
        <v>19</v>
      </c>
      <c r="M11" t="str">
        <f t="shared" si="4"/>
        <v>主液1次吸取；乙醇用量筒分次加入</v>
      </c>
    </row>
  </sheetData>
  <mergeCells count="2">
    <mergeCell ref="A1:K1"/>
    <mergeCell ref="A3:K3"/>
  </mergeCells>
  <phoneticPr fontId="6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tabSelected="1" workbookViewId="0">
      <pane ySplit="4" topLeftCell="A5" activePane="bottomLeft" state="frozen"/>
      <selection pane="bottomLeft" activeCell="Q10" sqref="Q10"/>
    </sheetView>
  </sheetViews>
  <sheetFormatPr defaultRowHeight="13.8"/>
  <cols>
    <col min="1" max="1" width="12" customWidth="1"/>
    <col min="2" max="2" width="16.59765625" bestFit="1" customWidth="1"/>
    <col min="3" max="3" width="25" hidden="1" customWidth="1"/>
    <col min="4" max="4" width="22" hidden="1" customWidth="1"/>
    <col min="5" max="5" width="9.09765625" bestFit="1" customWidth="1"/>
    <col min="6" max="6" width="7.69921875" bestFit="1" customWidth="1"/>
    <col min="7" max="7" width="9.09765625" bestFit="1" customWidth="1"/>
    <col min="8" max="8" width="7.69921875" bestFit="1" customWidth="1"/>
    <col min="9" max="9" width="9.09765625" bestFit="1" customWidth="1"/>
    <col min="10" max="10" width="7.69921875" bestFit="1" customWidth="1"/>
    <col min="11" max="11" width="9.09765625" bestFit="1" customWidth="1"/>
    <col min="12" max="12" width="7.69921875" bestFit="1" customWidth="1"/>
    <col min="13" max="13" width="14" hidden="1" customWidth="1"/>
    <col min="14" max="14" width="35" hidden="1" customWidth="1"/>
  </cols>
  <sheetData>
    <row r="1" spans="1:14" ht="37.950000000000003" hidden="1" customHeight="1">
      <c r="A1" s="33" t="s">
        <v>127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idden="1"/>
    <row r="3" spans="1:14" ht="37.049999999999997" hidden="1" customHeight="1">
      <c r="A3" s="38" t="s">
        <v>128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46.95" customHeight="1">
      <c r="A4" s="7" t="s">
        <v>129</v>
      </c>
      <c r="B4" s="7" t="s">
        <v>40</v>
      </c>
      <c r="C4" s="7" t="s">
        <v>130</v>
      </c>
      <c r="D4" s="7" t="s">
        <v>111</v>
      </c>
      <c r="E4" s="7" t="s">
        <v>131</v>
      </c>
      <c r="F4" s="7" t="s">
        <v>132</v>
      </c>
      <c r="G4" s="7" t="s">
        <v>133</v>
      </c>
      <c r="H4" s="7" t="s">
        <v>134</v>
      </c>
      <c r="I4" s="7" t="s">
        <v>135</v>
      </c>
      <c r="J4" s="7" t="s">
        <v>136</v>
      </c>
      <c r="K4" s="7" t="s">
        <v>137</v>
      </c>
      <c r="L4" s="7" t="s">
        <v>138</v>
      </c>
      <c r="M4" s="7" t="s">
        <v>139</v>
      </c>
      <c r="N4" s="7" t="s">
        <v>140</v>
      </c>
    </row>
    <row r="5" spans="1:14" ht="25.05" customHeight="1">
      <c r="A5" t="s">
        <v>57</v>
      </c>
      <c r="B5" t="s">
        <v>58</v>
      </c>
      <c r="C5" s="22">
        <f>①24瓶主母液_纯品μL!I5</f>
        <v>30.003264000000001</v>
      </c>
      <c r="D5" s="22">
        <f>②7瓶一次稀释液!E5</f>
        <v>0.30003264000000002</v>
      </c>
      <c r="E5" t="s">
        <v>141</v>
      </c>
      <c r="F5" s="16">
        <f>ROUND(176050/(50*C5),1)</f>
        <v>117.4</v>
      </c>
      <c r="G5" t="s">
        <v>142</v>
      </c>
      <c r="H5" s="16">
        <f>ROUND(1795/(50*D5),1)</f>
        <v>119.7</v>
      </c>
      <c r="I5" t="s">
        <v>142</v>
      </c>
      <c r="J5" s="16">
        <f>ROUND(900/(50*D5),1)</f>
        <v>60</v>
      </c>
      <c r="K5" t="s">
        <v>142</v>
      </c>
      <c r="L5" s="16">
        <f>ROUND(150/(50*D5),1)</f>
        <v>10</v>
      </c>
      <c r="M5" t="s">
        <v>143</v>
      </c>
    </row>
    <row r="6" spans="1:14" ht="25.05" customHeight="1">
      <c r="A6" s="8" t="s">
        <v>61</v>
      </c>
      <c r="B6" s="8" t="s">
        <v>62</v>
      </c>
      <c r="C6" s="23">
        <f>①24瓶主母液_纯品μL!I6</f>
        <v>47.999261750000002</v>
      </c>
      <c r="D6" s="23">
        <f>②7瓶一次稀释液!E6</f>
        <v>9.5998523500000008</v>
      </c>
      <c r="E6" s="8" t="s">
        <v>141</v>
      </c>
      <c r="F6" s="16">
        <f>ROUND(940000/(50*C6),1)</f>
        <v>391.7</v>
      </c>
      <c r="G6" s="8" t="s">
        <v>142</v>
      </c>
      <c r="H6" s="16">
        <f>ROUND(63221/(50*D6),1)</f>
        <v>131.69999999999999</v>
      </c>
      <c r="I6" s="8" t="s">
        <v>142</v>
      </c>
      <c r="J6" s="16">
        <f>ROUND(15000/(50*D6),1)</f>
        <v>31.3</v>
      </c>
      <c r="K6" s="8" t="s">
        <v>142</v>
      </c>
      <c r="L6" s="16">
        <f>ROUND(2400/(50*D6),1)</f>
        <v>5</v>
      </c>
      <c r="M6" s="8" t="s">
        <v>143</v>
      </c>
      <c r="N6" s="8" t="s">
        <v>144</v>
      </c>
    </row>
    <row r="7" spans="1:14" ht="25.05" customHeight="1">
      <c r="A7" t="s">
        <v>63</v>
      </c>
      <c r="B7" t="s">
        <v>64</v>
      </c>
      <c r="C7" s="22">
        <f>①24瓶主母液_纯品μL!I7</f>
        <v>300.02022399999998</v>
      </c>
      <c r="D7" s="22"/>
      <c r="E7" t="s">
        <v>141</v>
      </c>
      <c r="F7" s="16">
        <f>ROUND(4661800/(50*C7),1)</f>
        <v>310.8</v>
      </c>
      <c r="G7" t="s">
        <v>141</v>
      </c>
      <c r="H7" s="16">
        <f>ROUND(1750000/(50*C7),1)</f>
        <v>116.7</v>
      </c>
      <c r="I7" t="s">
        <v>141</v>
      </c>
      <c r="J7" s="16">
        <f>ROUND(588550/(50*C7),1)</f>
        <v>39.200000000000003</v>
      </c>
      <c r="K7" t="s">
        <v>141</v>
      </c>
      <c r="L7" s="16">
        <f>ROUND(400000/(50*C7),1)</f>
        <v>26.7</v>
      </c>
      <c r="M7" t="s">
        <v>145</v>
      </c>
    </row>
    <row r="8" spans="1:14" ht="25.05" customHeight="1">
      <c r="A8" s="8" t="s">
        <v>65</v>
      </c>
      <c r="B8" s="8" t="s">
        <v>66</v>
      </c>
      <c r="C8" s="23">
        <f>①24瓶主母液_纯品μL!I8</f>
        <v>12.0192215</v>
      </c>
      <c r="D8" s="23"/>
      <c r="E8" s="8" t="s">
        <v>141</v>
      </c>
      <c r="F8" s="16">
        <f>ROUND(247040/(50*C8),1)</f>
        <v>411.1</v>
      </c>
      <c r="G8" s="8" t="s">
        <v>141</v>
      </c>
      <c r="H8" s="16">
        <f>ROUND(18000/(50*C8),1)</f>
        <v>30</v>
      </c>
      <c r="I8" s="8" t="s">
        <v>141</v>
      </c>
      <c r="J8" s="16">
        <f>ROUND(3600/(50*C8),1)</f>
        <v>6</v>
      </c>
      <c r="K8" s="8" t="s">
        <v>146</v>
      </c>
      <c r="L8" s="16"/>
      <c r="M8" s="8" t="s">
        <v>145</v>
      </c>
      <c r="N8" s="8" t="s">
        <v>144</v>
      </c>
    </row>
    <row r="9" spans="1:14" ht="25.05" customHeight="1">
      <c r="A9" t="s">
        <v>67</v>
      </c>
      <c r="B9" t="s">
        <v>68</v>
      </c>
      <c r="C9" s="22">
        <f>①24瓶主母液_纯品μL!I9</f>
        <v>20.015586250000002</v>
      </c>
      <c r="D9" s="22">
        <f>②7瓶一次稀释液!E7</f>
        <v>2.0015586250000004</v>
      </c>
      <c r="E9" t="s">
        <v>141</v>
      </c>
      <c r="F9" s="16">
        <f>ROUND(376550/(50*C9),1)</f>
        <v>376.3</v>
      </c>
      <c r="G9" t="s">
        <v>142</v>
      </c>
      <c r="H9" s="16">
        <f>ROUND(12190/(50*D9),1)</f>
        <v>121.8</v>
      </c>
      <c r="I9" t="s">
        <v>142</v>
      </c>
      <c r="J9" s="16">
        <f>ROUND(3750/(50*D9),1)</f>
        <v>37.5</v>
      </c>
      <c r="K9" t="s">
        <v>142</v>
      </c>
      <c r="L9" s="16">
        <f>ROUND(750/(50*D9),1)</f>
        <v>7.5</v>
      </c>
      <c r="M9" t="s">
        <v>143</v>
      </c>
    </row>
    <row r="10" spans="1:14" ht="25.05" customHeight="1">
      <c r="A10" s="8" t="s">
        <v>69</v>
      </c>
      <c r="B10" s="8" t="s">
        <v>70</v>
      </c>
      <c r="C10" s="23">
        <f>①24瓶主母液_纯品μL!I10</f>
        <v>16.994812250000003</v>
      </c>
      <c r="D10" s="23"/>
      <c r="E10" s="8" t="s">
        <v>141</v>
      </c>
      <c r="F10" s="16">
        <f>ROUND(348671/(50*C10),1)</f>
        <v>410.3</v>
      </c>
      <c r="G10" s="8" t="s">
        <v>141</v>
      </c>
      <c r="H10" s="16">
        <f>ROUND(33000/(50*C10),1)</f>
        <v>38.799999999999997</v>
      </c>
      <c r="I10" s="8" t="s">
        <v>141</v>
      </c>
      <c r="J10" s="16">
        <f>ROUND(11735/(50*C10),1)</f>
        <v>13.8</v>
      </c>
      <c r="K10" s="8" t="s">
        <v>141</v>
      </c>
      <c r="L10" s="16">
        <f>ROUND(8000/(50*C10),1)</f>
        <v>9.4</v>
      </c>
      <c r="M10" s="8" t="s">
        <v>145</v>
      </c>
      <c r="N10" s="8"/>
    </row>
    <row r="11" spans="1:14" ht="25.05" customHeight="1">
      <c r="A11" t="s">
        <v>71</v>
      </c>
      <c r="B11" t="s">
        <v>72</v>
      </c>
      <c r="C11" s="22">
        <f>①24瓶主母液_纯品μL!I11</f>
        <v>2.003244</v>
      </c>
      <c r="D11" s="22"/>
      <c r="E11" t="s">
        <v>141</v>
      </c>
      <c r="F11" s="16">
        <f>ROUND(57280/(50*C11),1)</f>
        <v>571.9</v>
      </c>
      <c r="G11" t="s">
        <v>141</v>
      </c>
      <c r="H11" s="16">
        <f>ROUND(2400/(50*C11),1)</f>
        <v>24</v>
      </c>
      <c r="I11" t="s">
        <v>141</v>
      </c>
      <c r="J11" s="16">
        <f>ROUND(500/(50*C11),1)</f>
        <v>5</v>
      </c>
      <c r="K11" t="s">
        <v>146</v>
      </c>
      <c r="L11" s="16"/>
      <c r="M11" t="s">
        <v>145</v>
      </c>
      <c r="N11" t="s">
        <v>144</v>
      </c>
    </row>
    <row r="12" spans="1:14" ht="25.05" customHeight="1">
      <c r="A12" s="8" t="s">
        <v>73</v>
      </c>
      <c r="B12" s="8" t="s">
        <v>74</v>
      </c>
      <c r="C12" s="23">
        <f>①24瓶主母液_纯品μL!I12</f>
        <v>40.011772499999999</v>
      </c>
      <c r="D12" s="23">
        <f>②7瓶一次稀释液!E8</f>
        <v>2.0005886249999998</v>
      </c>
      <c r="E12" s="8" t="s">
        <v>141</v>
      </c>
      <c r="F12" s="16">
        <f>ROUND(480980/(50*C12),1)</f>
        <v>240.4</v>
      </c>
      <c r="G12" s="8" t="s">
        <v>142</v>
      </c>
      <c r="H12" s="16">
        <f>ROUND(13500/(50*D12),1)</f>
        <v>135</v>
      </c>
      <c r="I12" s="8" t="s">
        <v>142</v>
      </c>
      <c r="J12" s="16">
        <f>ROUND(2700/(50*D12),1)</f>
        <v>27</v>
      </c>
      <c r="K12" s="8" t="s">
        <v>142</v>
      </c>
      <c r="L12" s="16">
        <f>ROUND(1025/(50*D12),1)</f>
        <v>10.199999999999999</v>
      </c>
      <c r="M12" s="8" t="s">
        <v>143</v>
      </c>
      <c r="N12" s="8"/>
    </row>
    <row r="13" spans="1:14" ht="25.05" customHeight="1">
      <c r="A13" t="s">
        <v>75</v>
      </c>
      <c r="B13" t="s">
        <v>76</v>
      </c>
      <c r="C13" s="22">
        <f>①24瓶主母液_纯品μL!I13</f>
        <v>40.005079500000001</v>
      </c>
      <c r="D13" s="22"/>
      <c r="E13" t="s">
        <v>141</v>
      </c>
      <c r="F13" s="16">
        <f>ROUND(784300/(50*C13),1)</f>
        <v>392.1</v>
      </c>
      <c r="G13" t="s">
        <v>141</v>
      </c>
      <c r="H13" s="16">
        <f>ROUND(89806/(50*C13),1)</f>
        <v>44.9</v>
      </c>
      <c r="I13" t="s">
        <v>141</v>
      </c>
      <c r="J13" s="16">
        <f>ROUND(24000/(50*C13),1)</f>
        <v>12</v>
      </c>
      <c r="K13" t="s">
        <v>146</v>
      </c>
      <c r="L13" s="16"/>
      <c r="M13" t="s">
        <v>145</v>
      </c>
    </row>
    <row r="14" spans="1:14" ht="25.05" customHeight="1">
      <c r="A14" s="8" t="s">
        <v>77</v>
      </c>
      <c r="B14" s="8" t="s">
        <v>78</v>
      </c>
      <c r="C14" s="23">
        <f>①24瓶主母液_纯品μL!I14</f>
        <v>9.9846949999999985</v>
      </c>
      <c r="D14" s="23">
        <f>②7瓶一次稀释液!E9</f>
        <v>0.9984694999999999</v>
      </c>
      <c r="E14" s="8" t="s">
        <v>141</v>
      </c>
      <c r="F14" s="16">
        <f>ROUND(193560/(50*C14),1)</f>
        <v>387.7</v>
      </c>
      <c r="G14" s="8" t="s">
        <v>142</v>
      </c>
      <c r="H14" s="16">
        <f>ROUND(4971/(50*D14),1)</f>
        <v>99.6</v>
      </c>
      <c r="I14" s="8" t="s">
        <v>142</v>
      </c>
      <c r="J14" s="16">
        <f>ROUND(1750/(50*D14),1)</f>
        <v>35.1</v>
      </c>
      <c r="K14" s="8" t="s">
        <v>142</v>
      </c>
      <c r="L14" s="16">
        <f>ROUND(300/(50*D14),1)</f>
        <v>6</v>
      </c>
      <c r="M14" s="8" t="s">
        <v>143</v>
      </c>
      <c r="N14" s="8" t="s">
        <v>144</v>
      </c>
    </row>
    <row r="15" spans="1:14" ht="25.05" customHeight="1">
      <c r="A15" t="s">
        <v>79</v>
      </c>
      <c r="B15" t="s">
        <v>80</v>
      </c>
      <c r="C15" s="22">
        <f>①24瓶主母液_纯品μL!I15</f>
        <v>3.9877912499999999</v>
      </c>
      <c r="D15" s="22"/>
      <c r="E15" t="s">
        <v>141</v>
      </c>
      <c r="F15" s="16">
        <f>ROUND(56115/(50*C15),1)</f>
        <v>281.39999999999998</v>
      </c>
      <c r="G15" t="s">
        <v>141</v>
      </c>
      <c r="H15" s="16">
        <f>ROUND(25000/(50*C15),1)</f>
        <v>125.4</v>
      </c>
      <c r="I15" t="s">
        <v>141</v>
      </c>
      <c r="J15" s="16">
        <f>ROUND(7500/(50*C15),1)</f>
        <v>37.6</v>
      </c>
      <c r="K15" t="s">
        <v>141</v>
      </c>
      <c r="L15" s="16">
        <f>ROUND(2117/(50*C15),1)</f>
        <v>10.6</v>
      </c>
      <c r="M15" t="s">
        <v>145</v>
      </c>
    </row>
    <row r="16" spans="1:14" ht="25.05" customHeight="1">
      <c r="A16" s="8" t="s">
        <v>81</v>
      </c>
      <c r="B16" s="8" t="s">
        <v>82</v>
      </c>
      <c r="C16" s="23">
        <f>①24瓶主母液_纯品μL!I16</f>
        <v>100.00767900000001</v>
      </c>
      <c r="D16" s="23"/>
      <c r="E16" s="8" t="s">
        <v>141</v>
      </c>
      <c r="F16" s="16">
        <f>ROUND(1552320/(50*C16),1)</f>
        <v>310.39999999999998</v>
      </c>
      <c r="G16" s="8" t="s">
        <v>141</v>
      </c>
      <c r="H16" s="16">
        <f>ROUND(600000/(50*C16),1)</f>
        <v>120</v>
      </c>
      <c r="I16" s="8" t="s">
        <v>141</v>
      </c>
      <c r="J16" s="16">
        <f>ROUND(130000/(50*C16),1)</f>
        <v>26</v>
      </c>
      <c r="K16" s="8" t="s">
        <v>141</v>
      </c>
      <c r="L16" s="16">
        <f>ROUND(50000/(50*C16),1)</f>
        <v>10</v>
      </c>
      <c r="M16" s="8" t="s">
        <v>145</v>
      </c>
      <c r="N16" s="8"/>
    </row>
    <row r="17" spans="1:14" ht="25.05" customHeight="1">
      <c r="A17" t="s">
        <v>83</v>
      </c>
      <c r="B17" t="s">
        <v>84</v>
      </c>
      <c r="C17" s="22">
        <f>①24瓶主母液_纯品μL!I17</f>
        <v>6.0104109999999995</v>
      </c>
      <c r="D17" s="22"/>
      <c r="E17" t="s">
        <v>141</v>
      </c>
      <c r="F17" s="16">
        <f>ROUND(123135/(50*C17),1)</f>
        <v>409.7</v>
      </c>
      <c r="G17" t="s">
        <v>141</v>
      </c>
      <c r="H17" s="16">
        <f>ROUND(22500/(50*C17),1)</f>
        <v>74.900000000000006</v>
      </c>
      <c r="I17" t="s">
        <v>141</v>
      </c>
      <c r="J17" s="16">
        <f>ROUND(3000/(50*C17),1)</f>
        <v>10</v>
      </c>
      <c r="K17" t="s">
        <v>146</v>
      </c>
      <c r="L17" s="16"/>
      <c r="M17" t="s">
        <v>145</v>
      </c>
    </row>
    <row r="18" spans="1:14" ht="25.05" hidden="1" customHeight="1">
      <c r="A18" s="8" t="s">
        <v>85</v>
      </c>
      <c r="B18" s="8" t="s">
        <v>86</v>
      </c>
      <c r="C18" s="23">
        <f>①24瓶主母液_纯品μL!I18</f>
        <v>9.5939062499999999</v>
      </c>
      <c r="D18" s="23"/>
      <c r="E18" s="8" t="s">
        <v>141</v>
      </c>
      <c r="F18" s="16">
        <f>ROUND(333536/(50*C18),1)</f>
        <v>695.3</v>
      </c>
      <c r="G18" s="8" t="s">
        <v>141</v>
      </c>
      <c r="H18" s="16">
        <f>ROUND(30000/(50*C18),1)</f>
        <v>62.5</v>
      </c>
      <c r="I18" s="8" t="s">
        <v>141</v>
      </c>
      <c r="J18" s="16">
        <f>ROUND(8600/(50*C18),1)</f>
        <v>17.899999999999999</v>
      </c>
      <c r="K18" s="8" t="s">
        <v>141</v>
      </c>
      <c r="L18" s="16">
        <f>ROUND(2400/(50*C18),1)</f>
        <v>5</v>
      </c>
      <c r="M18" s="8" t="s">
        <v>145</v>
      </c>
      <c r="N18" s="8" t="s">
        <v>144</v>
      </c>
    </row>
    <row r="19" spans="1:14" ht="25.05" customHeight="1">
      <c r="A19" t="s">
        <v>87</v>
      </c>
      <c r="B19" t="s">
        <v>88</v>
      </c>
      <c r="C19" s="22">
        <f>①24瓶主母液_纯品μL!I19</f>
        <v>16.021004999999999</v>
      </c>
      <c r="D19" s="22"/>
      <c r="E19" t="s">
        <v>141</v>
      </c>
      <c r="F19" s="16">
        <f>ROUND(333536/(50*C19),1)</f>
        <v>416.4</v>
      </c>
      <c r="G19" t="s">
        <v>141</v>
      </c>
      <c r="H19" s="16">
        <f>ROUND(30000/(50*C19),1)</f>
        <v>37.5</v>
      </c>
      <c r="I19" t="s">
        <v>141</v>
      </c>
      <c r="J19" s="16">
        <f>ROUND(8600/(50*C19),1)</f>
        <v>10.7</v>
      </c>
      <c r="K19" t="s">
        <v>141</v>
      </c>
      <c r="L19" s="16">
        <f>ROUND(4800/(50*C19),1)</f>
        <v>6</v>
      </c>
      <c r="M19" t="s">
        <v>145</v>
      </c>
      <c r="N19" t="s">
        <v>144</v>
      </c>
    </row>
    <row r="20" spans="1:14" ht="25.05" hidden="1" customHeight="1">
      <c r="A20" s="8" t="s">
        <v>89</v>
      </c>
      <c r="B20" s="8" t="s">
        <v>90</v>
      </c>
      <c r="C20" s="23">
        <f>①24瓶主母液_纯品μL!I20</f>
        <v>10.012218749999999</v>
      </c>
      <c r="D20" s="23"/>
      <c r="E20" s="8" t="s">
        <v>141</v>
      </c>
      <c r="F20" s="16">
        <f>ROUND(122710/(50*C20),1)</f>
        <v>245.1</v>
      </c>
      <c r="G20" s="8" t="s">
        <v>141</v>
      </c>
      <c r="H20" s="16">
        <f>ROUND(36000/(50*C20),1)</f>
        <v>71.900000000000006</v>
      </c>
      <c r="I20" s="8" t="s">
        <v>141</v>
      </c>
      <c r="J20" s="16">
        <f>ROUND(10000/(50*C20),1)</f>
        <v>20</v>
      </c>
      <c r="K20" s="8" t="s">
        <v>141</v>
      </c>
      <c r="L20" s="16">
        <f>ROUND(5495/(50*C20),1)</f>
        <v>11</v>
      </c>
      <c r="M20" s="8" t="s">
        <v>145</v>
      </c>
      <c r="N20" s="8"/>
    </row>
    <row r="21" spans="1:14" ht="25.05" customHeight="1">
      <c r="A21" t="s">
        <v>91</v>
      </c>
      <c r="B21" t="s">
        <v>92</v>
      </c>
      <c r="C21" s="22">
        <f>①24瓶主母液_纯品μL!I21</f>
        <v>29.982312</v>
      </c>
      <c r="D21" s="22"/>
      <c r="E21" t="s">
        <v>141</v>
      </c>
      <c r="F21" s="16">
        <f>ROUND(550200/(50*C21),1)</f>
        <v>367</v>
      </c>
      <c r="G21" t="s">
        <v>141</v>
      </c>
      <c r="H21" s="16">
        <f>ROUND(110000/(50*C21),1)</f>
        <v>73.400000000000006</v>
      </c>
      <c r="I21" t="s">
        <v>141</v>
      </c>
      <c r="J21" s="16">
        <f>ROUND(41551/(50*C21),1)</f>
        <v>27.7</v>
      </c>
      <c r="K21" t="s">
        <v>141</v>
      </c>
      <c r="L21" s="16">
        <f>ROUND(15000/(50*C21),1)</f>
        <v>10</v>
      </c>
      <c r="M21" t="s">
        <v>145</v>
      </c>
    </row>
    <row r="22" spans="1:14" ht="25.05" customHeight="1">
      <c r="A22" s="8" t="s">
        <v>93</v>
      </c>
      <c r="B22" s="8" t="s">
        <v>94</v>
      </c>
      <c r="C22" s="23">
        <f>①24瓶主母液_纯品μL!I22</f>
        <v>149.98392199999998</v>
      </c>
      <c r="D22" s="23"/>
      <c r="E22" s="8" t="s">
        <v>141</v>
      </c>
      <c r="F22" s="16">
        <f>ROUND(1800500/(50*C22),1)</f>
        <v>240.1</v>
      </c>
      <c r="G22" s="8" t="s">
        <v>141</v>
      </c>
      <c r="H22" s="16">
        <f>ROUND(1200000/(50*C22),1)</f>
        <v>160</v>
      </c>
      <c r="I22" s="8" t="s">
        <v>141</v>
      </c>
      <c r="J22" s="16">
        <f>ROUND(320000/(50*C22),1)</f>
        <v>42.7</v>
      </c>
      <c r="K22" s="8" t="s">
        <v>141</v>
      </c>
      <c r="L22" s="16">
        <f>ROUND(143377/(50*C22),1)</f>
        <v>19.100000000000001</v>
      </c>
      <c r="M22" s="8" t="s">
        <v>145</v>
      </c>
      <c r="N22" s="8"/>
    </row>
    <row r="23" spans="1:14" ht="25.05" customHeight="1">
      <c r="A23" t="s">
        <v>95</v>
      </c>
      <c r="B23" t="s">
        <v>96</v>
      </c>
      <c r="C23" s="22">
        <f>①24瓶主母液_纯品μL!I23</f>
        <v>3.0074122499999998</v>
      </c>
      <c r="D23" s="22"/>
      <c r="E23" t="s">
        <v>141</v>
      </c>
      <c r="F23" s="16">
        <f>ROUND(32300/(50*C23),1)</f>
        <v>214.8</v>
      </c>
      <c r="G23" t="s">
        <v>141</v>
      </c>
      <c r="H23" s="16">
        <f>ROUND(12000/(50*C23),1)</f>
        <v>79.8</v>
      </c>
      <c r="I23" t="s">
        <v>141</v>
      </c>
      <c r="J23" s="16">
        <f>ROUND(5762/(50*C23),1)</f>
        <v>38.299999999999997</v>
      </c>
      <c r="K23" t="s">
        <v>141</v>
      </c>
      <c r="L23" s="16">
        <f>ROUND(1800/(50*C23),1)</f>
        <v>12</v>
      </c>
      <c r="M23" t="s">
        <v>145</v>
      </c>
    </row>
    <row r="24" spans="1:14" ht="25.05" customHeight="1">
      <c r="A24" s="8" t="s">
        <v>97</v>
      </c>
      <c r="B24" s="8" t="s">
        <v>98</v>
      </c>
      <c r="C24" s="23">
        <f>①24瓶主母液_纯品μL!I24</f>
        <v>8.9988840000000003</v>
      </c>
      <c r="D24" s="23"/>
      <c r="E24" s="8" t="s">
        <v>141</v>
      </c>
      <c r="F24" s="16">
        <f>ROUND(195030/(50*C24),1)</f>
        <v>433.5</v>
      </c>
      <c r="G24" s="8" t="s">
        <v>141</v>
      </c>
      <c r="H24" s="16">
        <f>ROUND(12000/(50*C24),1)</f>
        <v>26.7</v>
      </c>
      <c r="I24" s="8" t="s">
        <v>141</v>
      </c>
      <c r="J24" s="16">
        <f>ROUND(9412/(50*C24),1)</f>
        <v>20.9</v>
      </c>
      <c r="K24" s="8" t="s">
        <v>141</v>
      </c>
      <c r="L24" s="16">
        <f>ROUND(2400/(50*C24),1)</f>
        <v>5.3</v>
      </c>
      <c r="M24" s="8" t="s">
        <v>145</v>
      </c>
      <c r="N24" s="8" t="s">
        <v>144</v>
      </c>
    </row>
    <row r="25" spans="1:14" ht="25.05" customHeight="1">
      <c r="A25" t="s">
        <v>99</v>
      </c>
      <c r="B25" t="s">
        <v>100</v>
      </c>
      <c r="C25" s="22">
        <f>①24瓶主母液_纯品μL!I25</f>
        <v>20.022230750000002</v>
      </c>
      <c r="D25" s="22">
        <f>②7瓶一次稀释液!E10</f>
        <v>1.0011115375000001</v>
      </c>
      <c r="E25" t="s">
        <v>141</v>
      </c>
      <c r="F25" s="16">
        <f>ROUND(357110/(50*C25),1)</f>
        <v>356.7</v>
      </c>
      <c r="G25" t="s">
        <v>142</v>
      </c>
      <c r="H25" s="16">
        <f>ROUND(6250/(50*D25),1)</f>
        <v>124.9</v>
      </c>
      <c r="I25" t="s">
        <v>142</v>
      </c>
      <c r="J25" s="16">
        <f>ROUND(1962/(50*D25),1)</f>
        <v>39.200000000000003</v>
      </c>
      <c r="K25" t="s">
        <v>142</v>
      </c>
      <c r="L25" s="16">
        <f>ROUND(1000/(50*D25),1)</f>
        <v>20</v>
      </c>
      <c r="M25" t="s">
        <v>143</v>
      </c>
    </row>
    <row r="26" spans="1:14" ht="25.05" customHeight="1">
      <c r="A26" s="8" t="s">
        <v>101</v>
      </c>
      <c r="B26" s="8" t="s">
        <v>102</v>
      </c>
      <c r="C26" s="23">
        <f>①24瓶主母液_纯品μL!I26</f>
        <v>40.010947999999999</v>
      </c>
      <c r="D26" s="23">
        <f>②7瓶一次稀释液!E11</f>
        <v>2.0005473999999999</v>
      </c>
      <c r="E26" s="8" t="s">
        <v>141</v>
      </c>
      <c r="F26" s="16">
        <f>ROUND(480980/(50*C26),1)</f>
        <v>240.4</v>
      </c>
      <c r="G26" s="8" t="s">
        <v>141</v>
      </c>
      <c r="H26" s="16">
        <f>ROUND(120000/(50*C26),1)</f>
        <v>60</v>
      </c>
      <c r="I26" s="8" t="s">
        <v>142</v>
      </c>
      <c r="J26" s="16">
        <f>ROUND(1282/(50*D26),1)</f>
        <v>12.8</v>
      </c>
      <c r="K26" s="8" t="s">
        <v>146</v>
      </c>
      <c r="L26" s="16"/>
      <c r="M26" s="8" t="s">
        <v>143</v>
      </c>
      <c r="N26" s="8"/>
    </row>
    <row r="27" spans="1:14" ht="25.05" customHeight="1">
      <c r="A27" t="s">
        <v>103</v>
      </c>
      <c r="B27" t="s">
        <v>104</v>
      </c>
      <c r="C27" s="22">
        <f>①24瓶主母液_纯品μL!I27</f>
        <v>20.007414000000001</v>
      </c>
      <c r="D27" s="22"/>
      <c r="E27" t="s">
        <v>141</v>
      </c>
      <c r="F27" s="16">
        <f>ROUND(373000/(50*C27),1)</f>
        <v>372.9</v>
      </c>
      <c r="G27" t="s">
        <v>141</v>
      </c>
      <c r="H27" s="16">
        <f>ROUND(64000/(50*C27),1)</f>
        <v>64</v>
      </c>
      <c r="I27" t="s">
        <v>141</v>
      </c>
      <c r="J27" s="16">
        <f>ROUND(29862/(50*C27),1)</f>
        <v>29.9</v>
      </c>
      <c r="K27" t="s">
        <v>141</v>
      </c>
      <c r="L27" s="16">
        <f>ROUND(16000/(50*C27),1)</f>
        <v>16</v>
      </c>
      <c r="M27" t="s">
        <v>145</v>
      </c>
    </row>
    <row r="28" spans="1:14" ht="25.05" customHeight="1">
      <c r="A28" s="8" t="s">
        <v>105</v>
      </c>
      <c r="B28" s="8" t="s">
        <v>106</v>
      </c>
      <c r="C28" s="23">
        <f>①24瓶主母液_纯品μL!I28</f>
        <v>5.2021100000000002</v>
      </c>
      <c r="D28" s="23"/>
      <c r="E28" s="8" t="s">
        <v>141</v>
      </c>
      <c r="F28" s="16">
        <f>ROUND(118700/(50*C28),1)</f>
        <v>456.4</v>
      </c>
      <c r="G28" s="8" t="s">
        <v>141</v>
      </c>
      <c r="H28" s="16">
        <f>ROUND(11000/(50*C28),1)</f>
        <v>42.3</v>
      </c>
      <c r="I28" s="8" t="s">
        <v>141</v>
      </c>
      <c r="J28" s="16">
        <f>ROUND(2200/(50*C28),1)</f>
        <v>8.5</v>
      </c>
      <c r="K28" s="8" t="s">
        <v>141</v>
      </c>
      <c r="L28" s="16">
        <f>ROUND(1305/(50*C28),1)</f>
        <v>5</v>
      </c>
      <c r="M28" s="8" t="s">
        <v>145</v>
      </c>
      <c r="N28" s="8" t="s">
        <v>144</v>
      </c>
    </row>
  </sheetData>
  <mergeCells count="2">
    <mergeCell ref="A1:N1"/>
    <mergeCell ref="A3:N3"/>
  </mergeCells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topLeftCell="D1" workbookViewId="0">
      <pane ySplit="4" topLeftCell="A5" activePane="bottomLeft" state="frozen"/>
      <selection pane="bottomLeft" sqref="A1:I1"/>
    </sheetView>
  </sheetViews>
  <sheetFormatPr defaultRowHeight="13.8"/>
  <cols>
    <col min="1" max="1" width="15" customWidth="1"/>
    <col min="2" max="2" width="25" customWidth="1"/>
    <col min="3" max="3" width="29" customWidth="1"/>
    <col min="4" max="4" width="30" customWidth="1"/>
    <col min="5" max="5" width="25" customWidth="1"/>
    <col min="6" max="6" width="27" customWidth="1"/>
    <col min="7" max="7" width="21" customWidth="1"/>
    <col min="8" max="8" width="19" customWidth="1"/>
    <col min="9" max="9" width="47" customWidth="1"/>
  </cols>
  <sheetData>
    <row r="1" spans="1:9" ht="37.950000000000003" customHeight="1">
      <c r="A1" s="33" t="s">
        <v>147</v>
      </c>
      <c r="B1" s="33"/>
      <c r="C1" s="33"/>
      <c r="D1" s="33"/>
      <c r="E1" s="33"/>
      <c r="F1" s="33"/>
      <c r="G1" s="33"/>
      <c r="H1" s="33"/>
      <c r="I1" s="33"/>
    </row>
    <row r="3" spans="1:9" ht="48" customHeight="1">
      <c r="A3" s="38" t="s">
        <v>148</v>
      </c>
      <c r="B3" s="38"/>
      <c r="C3" s="38"/>
      <c r="D3" s="38"/>
      <c r="E3" s="38"/>
      <c r="F3" s="38"/>
      <c r="G3" s="38"/>
      <c r="H3" s="38"/>
      <c r="I3" s="38"/>
    </row>
    <row r="4" spans="1:9" ht="46.95" customHeight="1">
      <c r="A4" s="7" t="s">
        <v>149</v>
      </c>
      <c r="B4" s="7" t="s">
        <v>150</v>
      </c>
      <c r="C4" s="7" t="s">
        <v>151</v>
      </c>
      <c r="D4" s="7" t="s">
        <v>152</v>
      </c>
      <c r="E4" s="7" t="s">
        <v>153</v>
      </c>
      <c r="F4" s="7" t="s">
        <v>154</v>
      </c>
      <c r="G4" s="7" t="s">
        <v>155</v>
      </c>
      <c r="H4" s="7" t="s">
        <v>156</v>
      </c>
      <c r="I4" s="7" t="s">
        <v>3</v>
      </c>
    </row>
    <row r="5" spans="1:9" ht="25.05" customHeight="1">
      <c r="A5">
        <v>1</v>
      </c>
      <c r="B5" s="11">
        <f>SUM(③四级吸取表!F5:F28)/1000</f>
        <v>8.649799999999999</v>
      </c>
      <c r="C5" s="11">
        <f>(③四级吸取表!F5/1000)*①24瓶主母液_纯品μL!J5+(③四级吸取表!F6/1000)*①24瓶主母液_纯品μL!J6+(③四级吸取表!F7/1000)*①24瓶主母液_纯品μL!J7+(③四级吸取表!F8/1000)*①24瓶主母液_纯品μL!J8+(③四级吸取表!F9/1000)*①24瓶主母液_纯品μL!J9+(③四级吸取表!F10/1000)*①24瓶主母液_纯品μL!J10+(③四级吸取表!F11/1000)*①24瓶主母液_纯品μL!J11+(③四级吸取表!F12/1000)*①24瓶主母液_纯品μL!J12+(③四级吸取表!F13/1000)*①24瓶主母液_纯品μL!J13+(③四级吸取表!F14/1000)*①24瓶主母液_纯品μL!J14+(③四级吸取表!F15/1000)*①24瓶主母液_纯品μL!J15+(③四级吸取表!F16/1000)*①24瓶主母液_纯品μL!J16+(③四级吸取表!F17/1000)*①24瓶主母液_纯品μL!J17+(③四级吸取表!F18/1000)*①24瓶主母液_纯品μL!J18+(③四级吸取表!F19/1000)*①24瓶主母液_纯品μL!J19+(③四级吸取表!F20/1000)*①24瓶主母液_纯品μL!J20+(③四级吸取表!F21/1000)*①24瓶主母液_纯品μL!J21+(③四级吸取表!F22/1000)*①24瓶主母液_纯品μL!J22+(③四级吸取表!F23/1000)*①24瓶主母液_纯品μL!J23+(③四级吸取表!F24/1000)*①24瓶主母液_纯品μL!J24+(③四级吸取表!F25/1000)*①24瓶主母液_纯品μL!J25+(③四级吸取表!F26/1000)*①24瓶主母液_纯品μL!J26+(③四级吸取表!F27/1000)*①24瓶主母液_纯品μL!J27+(③四级吸取表!F28/1000)*①24瓶主母液_纯品μL!J28</f>
        <v>8.3155793349999989</v>
      </c>
      <c r="D5" s="24">
        <f>(操作说明!$B$4*操作说明!$B$7/操作说明!$B$6)-C5</f>
        <v>2.8423154018421091</v>
      </c>
      <c r="E5" s="24">
        <f>操作说明!$B$4-B5-D5</f>
        <v>8.5078845981578919</v>
      </c>
      <c r="F5" s="11">
        <f>B5+D5+E5</f>
        <v>20</v>
      </c>
      <c r="G5" s="15">
        <f>(C5+D5)*操作说明!$B$6/操作说明!$B$4</f>
        <v>0.53</v>
      </c>
      <c r="H5" t="str">
        <f>IF(OR(D5&lt;0,E5&lt;0),"不可达","名义估算")</f>
        <v>名义估算</v>
      </c>
      <c r="I5" t="s">
        <v>157</v>
      </c>
    </row>
    <row r="6" spans="1:9" ht="25.05" customHeight="1">
      <c r="A6" s="8">
        <v>2</v>
      </c>
      <c r="B6" s="18">
        <f>SUM(③四级吸取表!H5:H28)/1000</f>
        <v>1.9855000000000003</v>
      </c>
      <c r="C6" s="18">
        <f>(③四级吸取表!H5/1000)*(1-(1-①24瓶主母液_纯品μL!J5)/②7瓶一次稀释液!D5)+(③四级吸取表!H6/1000)*(1-(1-①24瓶主母液_纯品μL!J6)/②7瓶一次稀释液!D6)+(③四级吸取表!H7/1000)*①24瓶主母液_纯品μL!J7+(③四级吸取表!H8/1000)*①24瓶主母液_纯品μL!J8+(③四级吸取表!H9/1000)*(1-(1-①24瓶主母液_纯品μL!J9)/②7瓶一次稀释液!D7)+(③四级吸取表!H10/1000)*①24瓶主母液_纯品μL!J10+(③四级吸取表!H11/1000)*①24瓶主母液_纯品μL!J11+(③四级吸取表!H12/1000)*(1-(1-①24瓶主母液_纯品μL!J12)/②7瓶一次稀释液!D8)+(③四级吸取表!H13/1000)*①24瓶主母液_纯品μL!J13+(③四级吸取表!H14/1000)*(1-(1-①24瓶主母液_纯品μL!J14)/②7瓶一次稀释液!D9)+(③四级吸取表!H15/1000)*①24瓶主母液_纯品μL!J15+(③四级吸取表!H16/1000)*①24瓶主母液_纯品μL!J16+(③四级吸取表!H17/1000)*①24瓶主母液_纯品μL!J17+(③四级吸取表!H18/1000)*①24瓶主母液_纯品μL!J18+(③四级吸取表!H19/1000)*①24瓶主母液_纯品μL!J19+(③四级吸取表!H20/1000)*①24瓶主母液_纯品μL!J20+(③四级吸取表!H21/1000)*①24瓶主母液_纯品μL!J21+(③四级吸取表!H22/1000)*①24瓶主母液_纯品μL!J22+(③四级吸取表!H23/1000)*①24瓶主母液_纯品μL!J23+(③四级吸取表!H24/1000)*①24瓶主母液_纯品μL!J24+(③四级吸取表!H25/1000)*(1-(1-①24瓶主母液_纯品μL!J25)/②7瓶一次稀释液!D10)+(③四级吸取表!H26/1000)*①24瓶主母液_纯品μL!J26+(③四级吸取表!H27/1000)*①24瓶主母液_纯品μL!J27+(③四级吸取表!H28/1000)*①24瓶主母液_纯品μL!J28</f>
        <v>1.8912614556500007</v>
      </c>
      <c r="D6" s="24">
        <f>(操作说明!$B$4*操作说明!$B$7/操作说明!$B$6)-C6</f>
        <v>9.2666332811921066</v>
      </c>
      <c r="E6" s="24">
        <f>操作说明!$B$4-B6-D6</f>
        <v>8.7478667188078916</v>
      </c>
      <c r="F6" s="18">
        <f>B6+D6+E6</f>
        <v>20</v>
      </c>
      <c r="G6" s="21">
        <f>(C6+D6)*操作说明!$B$6/操作说明!$B$4</f>
        <v>0.53</v>
      </c>
      <c r="H6" s="8" t="str">
        <f>IF(OR(D6&lt;0,E6&lt;0),"不可达","名义估算")</f>
        <v>名义估算</v>
      </c>
      <c r="I6" s="8" t="s">
        <v>157</v>
      </c>
    </row>
    <row r="7" spans="1:9" ht="25.05" customHeight="1">
      <c r="A7">
        <v>3</v>
      </c>
      <c r="B7" s="11">
        <f>SUM(③四级吸取表!J5:J28)/1000</f>
        <v>0.60909999999999997</v>
      </c>
      <c r="C7" s="11">
        <f>(③四级吸取表!J5/1000)*(1-(1-①24瓶主母液_纯品μL!J5)/②7瓶一次稀释液!D5)+(③四级吸取表!J6/1000)*(1-(1-①24瓶主母液_纯品μL!J6)/②7瓶一次稀释液!D6)+(③四级吸取表!J7/1000)*①24瓶主母液_纯品μL!J7+(③四级吸取表!J8/1000)*①24瓶主母液_纯品μL!J8+(③四级吸取表!J9/1000)*(1-(1-①24瓶主母液_纯品μL!J9)/②7瓶一次稀释液!D7)+(③四级吸取表!J10/1000)*①24瓶主母液_纯品μL!J10+(③四级吸取表!J11/1000)*①24瓶主母液_纯品μL!J11+(③四级吸取表!J12/1000)*(1-(1-①24瓶主母液_纯品μL!J12)/②7瓶一次稀释液!D8)+(③四级吸取表!J13/1000)*①24瓶主母液_纯品μL!J13+(③四级吸取表!J14/1000)*(1-(1-①24瓶主母液_纯品μL!J14)/②7瓶一次稀释液!D9)+(③四级吸取表!J15/1000)*①24瓶主母液_纯品μL!J15+(③四级吸取表!J16/1000)*①24瓶主母液_纯品μL!J16+(③四级吸取表!J17/1000)*①24瓶主母液_纯品μL!J17+(③四级吸取表!J18/1000)*①24瓶主母液_纯品μL!J18+(③四级吸取表!J19/1000)*①24瓶主母液_纯品μL!J19+(③四级吸取表!J20/1000)*①24瓶主母液_纯品μL!J20+(③四级吸取表!J21/1000)*①24瓶主母液_纯品μL!J21+(③四级吸取表!J22/1000)*①24瓶主母液_纯品μL!J22+(③四级吸取表!J23/1000)*①24瓶主母液_纯品μL!J23+(③四级吸取表!J24/1000)*①24瓶主母液_纯品μL!J24+(③四级吸取表!J25/1000)*(1-(1-①24瓶主母液_纯品μL!J25)/②7瓶一次稀释液!D10)+(③四级吸取表!J26/1000)*(1-(1-①24瓶主母液_纯品μL!J26)/②7瓶一次稀释液!D11)+(③四级吸取表!J27/1000)*①24瓶主母液_纯品μL!J27+(③四级吸取表!J28/1000)*①24瓶主母液_纯品μL!J28</f>
        <v>0.58185095200000003</v>
      </c>
      <c r="D7" s="24">
        <f>(操作说明!$B$4*操作说明!$B$7/操作说明!$B$6)-C7</f>
        <v>10.576043784842108</v>
      </c>
      <c r="E7" s="24">
        <f>操作说明!$B$4-B7-D7</f>
        <v>8.8148562151578904</v>
      </c>
      <c r="F7" s="11">
        <f>B7+D7+E7</f>
        <v>20</v>
      </c>
      <c r="G7" s="15">
        <f>(C7+D7)*操作说明!$B$6/操作说明!$B$4</f>
        <v>0.53</v>
      </c>
      <c r="H7" t="str">
        <f>IF(OR(D7&lt;0,E7&lt;0),"不可达","名义估算")</f>
        <v>名义估算</v>
      </c>
      <c r="I7" t="s">
        <v>157</v>
      </c>
    </row>
    <row r="8" spans="1:9" ht="25.05" customHeight="1">
      <c r="A8" s="8">
        <v>4</v>
      </c>
      <c r="B8" s="18">
        <f>SUM(③四级吸取表!L5:L28)/1000</f>
        <v>0.20480000000000001</v>
      </c>
      <c r="C8" s="18">
        <f>(③四级吸取表!L5/1000)*(1-(1-①24瓶主母液_纯品μL!J5)/②7瓶一次稀释液!D5)+(③四级吸取表!L6/1000)*(1-(1-①24瓶主母液_纯品μL!J6)/②7瓶一次稀释液!D6)+(③四级吸取表!L7/1000)*①24瓶主母液_纯品μL!J7+(③四级吸取表!L9/1000)*(1-(1-①24瓶主母液_纯品μL!J9)/②7瓶一次稀释液!D7)+(③四级吸取表!L10/1000)*①24瓶主母液_纯品μL!J10+(③四级吸取表!L12/1000)*(1-(1-①24瓶主母液_纯品μL!J12)/②7瓶一次稀释液!D8)+(③四级吸取表!L14/1000)*(1-(1-①24瓶主母液_纯品μL!J14)/②7瓶一次稀释液!D9)+(③四级吸取表!L15/1000)*①24瓶主母液_纯品μL!J15+(③四级吸取表!L16/1000)*①24瓶主母液_纯品μL!J16+(③四级吸取表!L18/1000)*①24瓶主母液_纯品μL!J18+(③四级吸取表!L19/1000)*①24瓶主母液_纯品μL!J19+(③四级吸取表!L20/1000)*①24瓶主母液_纯品μL!J20+(③四级吸取表!L21/1000)*①24瓶主母液_纯品μL!J21+(③四级吸取表!L22/1000)*①24瓶主母液_纯品μL!J22+(③四级吸取表!L23/1000)*①24瓶主母液_纯品μL!J23+(③四级吸取表!L24/1000)*①24瓶主母液_纯品μL!J24+(③四级吸取表!L25/1000)*(1-(1-①24瓶主母液_纯品μL!J25)/②7瓶一次稀释液!D10)+(③四级吸取表!L27/1000)*①24瓶主母液_纯品μL!J27+(③四级吸取表!L28/1000)*①24瓶主母液_纯品μL!J28</f>
        <v>0.19014376500000002</v>
      </c>
      <c r="D8" s="24">
        <f>(操作说明!$B$4*操作说明!$B$7/操作说明!$B$6)-C8</f>
        <v>10.967750971842108</v>
      </c>
      <c r="E8" s="24">
        <f>操作说明!$B$4-B8-D8</f>
        <v>8.8274490281578935</v>
      </c>
      <c r="F8" s="18">
        <f>B8+D8+E8</f>
        <v>20</v>
      </c>
      <c r="G8" s="21">
        <f>(C8+D8)*操作说明!$B$6/操作说明!$B$4</f>
        <v>0.53</v>
      </c>
      <c r="H8" s="8" t="str">
        <f>IF(OR(D8&lt;0,E8&lt;0),"不可达","名义估算")</f>
        <v>名义估算</v>
      </c>
      <c r="I8" s="8" t="s">
        <v>157</v>
      </c>
    </row>
    <row r="11" spans="1:9" ht="45" customHeight="1">
      <c r="A11" s="38" t="s">
        <v>158</v>
      </c>
      <c r="B11" s="38"/>
      <c r="C11" s="38"/>
      <c r="D11" s="38"/>
      <c r="E11" s="38"/>
      <c r="F11" s="38"/>
      <c r="G11" s="38"/>
      <c r="H11" s="38"/>
      <c r="I11" s="38"/>
    </row>
  </sheetData>
  <mergeCells count="3">
    <mergeCell ref="A1:I1"/>
    <mergeCell ref="A3:I3"/>
    <mergeCell ref="A11:I11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5"/>
  <sheetViews>
    <sheetView workbookViewId="0">
      <pane ySplit="4" topLeftCell="A5" activePane="bottomLeft" state="frozen"/>
      <selection pane="bottomLeft" sqref="A1:I1"/>
    </sheetView>
  </sheetViews>
  <sheetFormatPr defaultRowHeight="13.8"/>
  <cols>
    <col min="1" max="1" width="14" customWidth="1"/>
    <col min="2" max="2" width="10" customWidth="1"/>
    <col min="3" max="3" width="25" customWidth="1"/>
    <col min="4" max="4" width="13" customWidth="1"/>
    <col min="5" max="5" width="17" customWidth="1"/>
    <col min="6" max="6" width="21" customWidth="1"/>
    <col min="7" max="7" width="25" customWidth="1"/>
    <col min="8" max="8" width="18" customWidth="1"/>
    <col min="9" max="9" width="23" customWidth="1"/>
  </cols>
  <sheetData>
    <row r="1" spans="1:9" ht="37.950000000000003" customHeight="1">
      <c r="A1" s="33" t="s">
        <v>159</v>
      </c>
      <c r="B1" s="33"/>
      <c r="C1" s="33"/>
      <c r="D1" s="33"/>
      <c r="E1" s="33"/>
      <c r="F1" s="33"/>
      <c r="G1" s="33"/>
      <c r="H1" s="33"/>
      <c r="I1" s="33"/>
    </row>
    <row r="3" spans="1:9" ht="36" customHeight="1">
      <c r="A3" s="38" t="s">
        <v>160</v>
      </c>
      <c r="B3" s="38"/>
      <c r="C3" s="38"/>
      <c r="D3" s="38"/>
      <c r="E3" s="38"/>
      <c r="F3" s="38"/>
      <c r="G3" s="38"/>
      <c r="H3" s="38"/>
      <c r="I3" s="38"/>
    </row>
    <row r="4" spans="1:9" ht="46.95" customHeight="1">
      <c r="A4" s="7" t="s">
        <v>149</v>
      </c>
      <c r="B4" s="7" t="s">
        <v>161</v>
      </c>
      <c r="C4" s="7" t="s">
        <v>40</v>
      </c>
      <c r="D4" s="7" t="s">
        <v>162</v>
      </c>
      <c r="E4" s="7" t="s">
        <v>163</v>
      </c>
      <c r="F4" s="7" t="s">
        <v>164</v>
      </c>
      <c r="G4" s="7" t="s">
        <v>165</v>
      </c>
      <c r="H4" s="7" t="s">
        <v>166</v>
      </c>
      <c r="I4" s="7" t="s">
        <v>167</v>
      </c>
    </row>
    <row r="5" spans="1:9" ht="25.05" customHeight="1">
      <c r="A5">
        <v>1</v>
      </c>
      <c r="B5">
        <v>1</v>
      </c>
      <c r="C5" t="s">
        <v>58</v>
      </c>
      <c r="D5" t="s">
        <v>141</v>
      </c>
      <c r="E5" t="s">
        <v>57</v>
      </c>
      <c r="F5" s="25">
        <v>176050</v>
      </c>
      <c r="G5" s="14">
        <f>③四级吸取表!F5</f>
        <v>117.4</v>
      </c>
      <c r="H5" t="str">
        <f t="shared" ref="H5:H36" si="0">IF(G5&lt;=10,"P10",IF(G5&lt;=20,"P20",IF(G5&lt;=200,"P200","P1000")))</f>
        <v>P200</v>
      </c>
      <c r="I5" s="22">
        <f>G5*操作说明!$B$5/1000</f>
        <v>1.8784000000000001</v>
      </c>
    </row>
    <row r="6" spans="1:9" ht="25.05" customHeight="1">
      <c r="A6" s="8">
        <v>1</v>
      </c>
      <c r="B6" s="8">
        <v>2</v>
      </c>
      <c r="C6" s="8" t="s">
        <v>62</v>
      </c>
      <c r="D6" s="8" t="s">
        <v>141</v>
      </c>
      <c r="E6" s="8" t="s">
        <v>61</v>
      </c>
      <c r="F6" s="26">
        <v>940000</v>
      </c>
      <c r="G6" s="20">
        <f>③四级吸取表!F6</f>
        <v>391.7</v>
      </c>
      <c r="H6" s="8" t="str">
        <f t="shared" si="0"/>
        <v>P1000</v>
      </c>
      <c r="I6" s="23">
        <f>G6*操作说明!$B$5/1000</f>
        <v>6.2671999999999999</v>
      </c>
    </row>
    <row r="7" spans="1:9" ht="25.05" customHeight="1">
      <c r="A7">
        <v>1</v>
      </c>
      <c r="B7">
        <v>3</v>
      </c>
      <c r="C7" t="s">
        <v>64</v>
      </c>
      <c r="D7" t="s">
        <v>141</v>
      </c>
      <c r="E7" t="s">
        <v>63</v>
      </c>
      <c r="F7" s="25">
        <v>4661800</v>
      </c>
      <c r="G7" s="14">
        <f>③四级吸取表!F7</f>
        <v>310.8</v>
      </c>
      <c r="H7" t="str">
        <f t="shared" si="0"/>
        <v>P1000</v>
      </c>
      <c r="I7" s="22">
        <f>G7*操作说明!$B$5/1000</f>
        <v>4.9728000000000003</v>
      </c>
    </row>
    <row r="8" spans="1:9" ht="25.05" customHeight="1">
      <c r="A8" s="8">
        <v>1</v>
      </c>
      <c r="B8" s="8">
        <v>4</v>
      </c>
      <c r="C8" s="8" t="s">
        <v>66</v>
      </c>
      <c r="D8" s="8" t="s">
        <v>141</v>
      </c>
      <c r="E8" s="8" t="s">
        <v>65</v>
      </c>
      <c r="F8" s="26">
        <v>247040</v>
      </c>
      <c r="G8" s="20">
        <f>③四级吸取表!F8</f>
        <v>411.1</v>
      </c>
      <c r="H8" s="8" t="str">
        <f t="shared" si="0"/>
        <v>P1000</v>
      </c>
      <c r="I8" s="23">
        <f>G8*操作说明!$B$5/1000</f>
        <v>6.5776000000000003</v>
      </c>
    </row>
    <row r="9" spans="1:9" ht="25.05" customHeight="1">
      <c r="A9">
        <v>1</v>
      </c>
      <c r="B9">
        <v>5</v>
      </c>
      <c r="C9" t="s">
        <v>68</v>
      </c>
      <c r="D9" t="s">
        <v>141</v>
      </c>
      <c r="E9" t="s">
        <v>67</v>
      </c>
      <c r="F9" s="25">
        <v>376550</v>
      </c>
      <c r="G9" s="14">
        <f>③四级吸取表!F9</f>
        <v>376.3</v>
      </c>
      <c r="H9" t="str">
        <f t="shared" si="0"/>
        <v>P1000</v>
      </c>
      <c r="I9" s="22">
        <f>G9*操作说明!$B$5/1000</f>
        <v>6.0208000000000004</v>
      </c>
    </row>
    <row r="10" spans="1:9" ht="25.05" customHeight="1">
      <c r="A10" s="8">
        <v>1</v>
      </c>
      <c r="B10" s="8">
        <v>6</v>
      </c>
      <c r="C10" s="8" t="s">
        <v>70</v>
      </c>
      <c r="D10" s="8" t="s">
        <v>141</v>
      </c>
      <c r="E10" s="8" t="s">
        <v>69</v>
      </c>
      <c r="F10" s="26">
        <v>348671</v>
      </c>
      <c r="G10" s="20">
        <f>③四级吸取表!F10</f>
        <v>410.3</v>
      </c>
      <c r="H10" s="8" t="str">
        <f t="shared" si="0"/>
        <v>P1000</v>
      </c>
      <c r="I10" s="23">
        <f>G10*操作说明!$B$5/1000</f>
        <v>6.5648</v>
      </c>
    </row>
    <row r="11" spans="1:9" ht="25.05" customHeight="1">
      <c r="A11">
        <v>1</v>
      </c>
      <c r="B11">
        <v>7</v>
      </c>
      <c r="C11" t="s">
        <v>72</v>
      </c>
      <c r="D11" t="s">
        <v>141</v>
      </c>
      <c r="E11" t="s">
        <v>71</v>
      </c>
      <c r="F11" s="25">
        <v>57280</v>
      </c>
      <c r="G11" s="14">
        <f>③四级吸取表!F11</f>
        <v>571.9</v>
      </c>
      <c r="H11" t="str">
        <f t="shared" si="0"/>
        <v>P1000</v>
      </c>
      <c r="I11" s="22">
        <f>G11*操作说明!$B$5/1000</f>
        <v>9.1503999999999994</v>
      </c>
    </row>
    <row r="12" spans="1:9" ht="25.05" customHeight="1">
      <c r="A12" s="8">
        <v>1</v>
      </c>
      <c r="B12" s="8">
        <v>8</v>
      </c>
      <c r="C12" s="8" t="s">
        <v>74</v>
      </c>
      <c r="D12" s="8" t="s">
        <v>141</v>
      </c>
      <c r="E12" s="8" t="s">
        <v>73</v>
      </c>
      <c r="F12" s="26">
        <v>480980</v>
      </c>
      <c r="G12" s="20">
        <f>③四级吸取表!F12</f>
        <v>240.4</v>
      </c>
      <c r="H12" s="8" t="str">
        <f t="shared" si="0"/>
        <v>P1000</v>
      </c>
      <c r="I12" s="23">
        <f>G12*操作说明!$B$5/1000</f>
        <v>3.8464</v>
      </c>
    </row>
    <row r="13" spans="1:9" ht="25.05" customHeight="1">
      <c r="A13">
        <v>1</v>
      </c>
      <c r="B13">
        <v>9</v>
      </c>
      <c r="C13" t="s">
        <v>76</v>
      </c>
      <c r="D13" t="s">
        <v>141</v>
      </c>
      <c r="E13" t="s">
        <v>75</v>
      </c>
      <c r="F13" s="25">
        <v>784300</v>
      </c>
      <c r="G13" s="14">
        <f>③四级吸取表!F13</f>
        <v>392.1</v>
      </c>
      <c r="H13" t="str">
        <f t="shared" si="0"/>
        <v>P1000</v>
      </c>
      <c r="I13" s="22">
        <f>G13*操作说明!$B$5/1000</f>
        <v>6.2736000000000001</v>
      </c>
    </row>
    <row r="14" spans="1:9" ht="25.05" customHeight="1">
      <c r="A14" s="8">
        <v>1</v>
      </c>
      <c r="B14" s="8">
        <v>10</v>
      </c>
      <c r="C14" s="8" t="s">
        <v>78</v>
      </c>
      <c r="D14" s="8" t="s">
        <v>141</v>
      </c>
      <c r="E14" s="8" t="s">
        <v>77</v>
      </c>
      <c r="F14" s="26">
        <v>193560</v>
      </c>
      <c r="G14" s="20">
        <f>③四级吸取表!F14</f>
        <v>387.7</v>
      </c>
      <c r="H14" s="8" t="str">
        <f t="shared" si="0"/>
        <v>P1000</v>
      </c>
      <c r="I14" s="23">
        <f>G14*操作说明!$B$5/1000</f>
        <v>6.2031999999999998</v>
      </c>
    </row>
    <row r="15" spans="1:9" ht="25.05" customHeight="1">
      <c r="A15">
        <v>1</v>
      </c>
      <c r="B15">
        <v>11</v>
      </c>
      <c r="C15" t="s">
        <v>80</v>
      </c>
      <c r="D15" t="s">
        <v>141</v>
      </c>
      <c r="E15" t="s">
        <v>79</v>
      </c>
      <c r="F15" s="25">
        <v>56115</v>
      </c>
      <c r="G15" s="14">
        <f>③四级吸取表!F15</f>
        <v>281.39999999999998</v>
      </c>
      <c r="H15" t="str">
        <f t="shared" si="0"/>
        <v>P1000</v>
      </c>
      <c r="I15" s="22">
        <f>G15*操作说明!$B$5/1000</f>
        <v>4.5023999999999997</v>
      </c>
    </row>
    <row r="16" spans="1:9" ht="25.05" customHeight="1">
      <c r="A16" s="8">
        <v>1</v>
      </c>
      <c r="B16" s="8">
        <v>12</v>
      </c>
      <c r="C16" s="8" t="s">
        <v>82</v>
      </c>
      <c r="D16" s="8" t="s">
        <v>141</v>
      </c>
      <c r="E16" s="8" t="s">
        <v>81</v>
      </c>
      <c r="F16" s="26">
        <v>1552320</v>
      </c>
      <c r="G16" s="20">
        <f>③四级吸取表!F16</f>
        <v>310.39999999999998</v>
      </c>
      <c r="H16" s="8" t="str">
        <f t="shared" si="0"/>
        <v>P1000</v>
      </c>
      <c r="I16" s="23">
        <f>G16*操作说明!$B$5/1000</f>
        <v>4.9663999999999993</v>
      </c>
    </row>
    <row r="17" spans="1:9" ht="25.05" customHeight="1">
      <c r="A17">
        <v>1</v>
      </c>
      <c r="B17">
        <v>13</v>
      </c>
      <c r="C17" t="s">
        <v>84</v>
      </c>
      <c r="D17" t="s">
        <v>141</v>
      </c>
      <c r="E17" t="s">
        <v>83</v>
      </c>
      <c r="F17" s="25">
        <v>123135</v>
      </c>
      <c r="G17" s="14">
        <f>③四级吸取表!F17</f>
        <v>409.7</v>
      </c>
      <c r="H17" t="str">
        <f t="shared" si="0"/>
        <v>P1000</v>
      </c>
      <c r="I17" s="22">
        <f>G17*操作说明!$B$5/1000</f>
        <v>6.5552000000000001</v>
      </c>
    </row>
    <row r="18" spans="1:9" ht="25.05" customHeight="1">
      <c r="A18" s="8">
        <v>1</v>
      </c>
      <c r="B18" s="8">
        <v>14</v>
      </c>
      <c r="C18" s="8" t="s">
        <v>86</v>
      </c>
      <c r="D18" s="8" t="s">
        <v>141</v>
      </c>
      <c r="E18" s="8" t="s">
        <v>85</v>
      </c>
      <c r="F18" s="26">
        <v>333536</v>
      </c>
      <c r="G18" s="20">
        <f>③四级吸取表!F18</f>
        <v>695.3</v>
      </c>
      <c r="H18" s="8" t="str">
        <f t="shared" si="0"/>
        <v>P1000</v>
      </c>
      <c r="I18" s="23">
        <f>G18*操作说明!$B$5/1000</f>
        <v>11.124799999999999</v>
      </c>
    </row>
    <row r="19" spans="1:9" ht="25.05" customHeight="1">
      <c r="A19">
        <v>1</v>
      </c>
      <c r="B19">
        <v>15</v>
      </c>
      <c r="C19" t="s">
        <v>88</v>
      </c>
      <c r="D19" t="s">
        <v>141</v>
      </c>
      <c r="E19" t="s">
        <v>87</v>
      </c>
      <c r="F19" s="25">
        <v>333536</v>
      </c>
      <c r="G19" s="14">
        <f>③四级吸取表!F19</f>
        <v>416.4</v>
      </c>
      <c r="H19" t="str">
        <f t="shared" si="0"/>
        <v>P1000</v>
      </c>
      <c r="I19" s="22">
        <f>G19*操作说明!$B$5/1000</f>
        <v>6.6623999999999999</v>
      </c>
    </row>
    <row r="20" spans="1:9" ht="25.05" customHeight="1">
      <c r="A20" s="8">
        <v>1</v>
      </c>
      <c r="B20" s="8">
        <v>16</v>
      </c>
      <c r="C20" s="8" t="s">
        <v>90</v>
      </c>
      <c r="D20" s="8" t="s">
        <v>141</v>
      </c>
      <c r="E20" s="8" t="s">
        <v>89</v>
      </c>
      <c r="F20" s="26">
        <v>122710</v>
      </c>
      <c r="G20" s="20">
        <f>③四级吸取表!F20</f>
        <v>245.1</v>
      </c>
      <c r="H20" s="8" t="str">
        <f t="shared" si="0"/>
        <v>P1000</v>
      </c>
      <c r="I20" s="23">
        <f>G20*操作说明!$B$5/1000</f>
        <v>3.9215999999999998</v>
      </c>
    </row>
    <row r="21" spans="1:9" ht="25.05" customHeight="1">
      <c r="A21">
        <v>1</v>
      </c>
      <c r="B21">
        <v>17</v>
      </c>
      <c r="C21" t="s">
        <v>92</v>
      </c>
      <c r="D21" t="s">
        <v>141</v>
      </c>
      <c r="E21" t="s">
        <v>91</v>
      </c>
      <c r="F21" s="25">
        <v>550200</v>
      </c>
      <c r="G21" s="14">
        <f>③四级吸取表!F21</f>
        <v>367</v>
      </c>
      <c r="H21" t="str">
        <f t="shared" si="0"/>
        <v>P1000</v>
      </c>
      <c r="I21" s="22">
        <f>G21*操作说明!$B$5/1000</f>
        <v>5.8719999999999999</v>
      </c>
    </row>
    <row r="22" spans="1:9" ht="25.05" customHeight="1">
      <c r="A22" s="8">
        <v>1</v>
      </c>
      <c r="B22" s="8">
        <v>18</v>
      </c>
      <c r="C22" s="8" t="s">
        <v>94</v>
      </c>
      <c r="D22" s="8" t="s">
        <v>141</v>
      </c>
      <c r="E22" s="8" t="s">
        <v>93</v>
      </c>
      <c r="F22" s="26">
        <v>1800500</v>
      </c>
      <c r="G22" s="20">
        <f>③四级吸取表!F22</f>
        <v>240.1</v>
      </c>
      <c r="H22" s="8" t="str">
        <f t="shared" si="0"/>
        <v>P1000</v>
      </c>
      <c r="I22" s="23">
        <f>G22*操作说明!$B$5/1000</f>
        <v>3.8416000000000001</v>
      </c>
    </row>
    <row r="23" spans="1:9" ht="25.05" customHeight="1">
      <c r="A23">
        <v>1</v>
      </c>
      <c r="B23">
        <v>19</v>
      </c>
      <c r="C23" t="s">
        <v>96</v>
      </c>
      <c r="D23" t="s">
        <v>141</v>
      </c>
      <c r="E23" t="s">
        <v>95</v>
      </c>
      <c r="F23" s="25">
        <v>32300</v>
      </c>
      <c r="G23" s="14">
        <f>③四级吸取表!F23</f>
        <v>214.8</v>
      </c>
      <c r="H23" t="str">
        <f t="shared" si="0"/>
        <v>P1000</v>
      </c>
      <c r="I23" s="22">
        <f>G23*操作说明!$B$5/1000</f>
        <v>3.4368000000000003</v>
      </c>
    </row>
    <row r="24" spans="1:9" ht="25.05" customHeight="1">
      <c r="A24" s="8">
        <v>1</v>
      </c>
      <c r="B24" s="8">
        <v>20</v>
      </c>
      <c r="C24" s="8" t="s">
        <v>98</v>
      </c>
      <c r="D24" s="8" t="s">
        <v>141</v>
      </c>
      <c r="E24" s="8" t="s">
        <v>97</v>
      </c>
      <c r="F24" s="26">
        <v>195030</v>
      </c>
      <c r="G24" s="20">
        <f>③四级吸取表!F24</f>
        <v>433.5</v>
      </c>
      <c r="H24" s="8" t="str">
        <f t="shared" si="0"/>
        <v>P1000</v>
      </c>
      <c r="I24" s="23">
        <f>G24*操作说明!$B$5/1000</f>
        <v>6.9359999999999999</v>
      </c>
    </row>
    <row r="25" spans="1:9" ht="25.05" customHeight="1">
      <c r="A25">
        <v>1</v>
      </c>
      <c r="B25">
        <v>21</v>
      </c>
      <c r="C25" t="s">
        <v>100</v>
      </c>
      <c r="D25" t="s">
        <v>141</v>
      </c>
      <c r="E25" t="s">
        <v>99</v>
      </c>
      <c r="F25" s="25">
        <v>357110</v>
      </c>
      <c r="G25" s="14">
        <f>③四级吸取表!F25</f>
        <v>356.7</v>
      </c>
      <c r="H25" t="str">
        <f t="shared" si="0"/>
        <v>P1000</v>
      </c>
      <c r="I25" s="22">
        <f>G25*操作说明!$B$5/1000</f>
        <v>5.7071999999999994</v>
      </c>
    </row>
    <row r="26" spans="1:9" ht="25.05" customHeight="1">
      <c r="A26" s="8">
        <v>1</v>
      </c>
      <c r="B26" s="8">
        <v>22</v>
      </c>
      <c r="C26" s="8" t="s">
        <v>102</v>
      </c>
      <c r="D26" s="8" t="s">
        <v>141</v>
      </c>
      <c r="E26" s="8" t="s">
        <v>101</v>
      </c>
      <c r="F26" s="26">
        <v>480980</v>
      </c>
      <c r="G26" s="20">
        <f>③四级吸取表!F26</f>
        <v>240.4</v>
      </c>
      <c r="H26" s="8" t="str">
        <f t="shared" si="0"/>
        <v>P1000</v>
      </c>
      <c r="I26" s="23">
        <f>G26*操作说明!$B$5/1000</f>
        <v>3.8464</v>
      </c>
    </row>
    <row r="27" spans="1:9" ht="25.05" customHeight="1">
      <c r="A27">
        <v>1</v>
      </c>
      <c r="B27">
        <v>23</v>
      </c>
      <c r="C27" t="s">
        <v>104</v>
      </c>
      <c r="D27" t="s">
        <v>141</v>
      </c>
      <c r="E27" t="s">
        <v>103</v>
      </c>
      <c r="F27" s="25">
        <v>373000</v>
      </c>
      <c r="G27" s="14">
        <f>③四级吸取表!F27</f>
        <v>372.9</v>
      </c>
      <c r="H27" t="str">
        <f t="shared" si="0"/>
        <v>P1000</v>
      </c>
      <c r="I27" s="22">
        <f>G27*操作说明!$B$5/1000</f>
        <v>5.9663999999999993</v>
      </c>
    </row>
    <row r="28" spans="1:9" ht="25.05" customHeight="1">
      <c r="A28" s="8">
        <v>1</v>
      </c>
      <c r="B28" s="8">
        <v>24</v>
      </c>
      <c r="C28" s="8" t="s">
        <v>106</v>
      </c>
      <c r="D28" s="8" t="s">
        <v>141</v>
      </c>
      <c r="E28" s="8" t="s">
        <v>105</v>
      </c>
      <c r="F28" s="26">
        <v>118700</v>
      </c>
      <c r="G28" s="20">
        <f>③四级吸取表!F28</f>
        <v>456.4</v>
      </c>
      <c r="H28" s="8" t="str">
        <f t="shared" si="0"/>
        <v>P1000</v>
      </c>
      <c r="I28" s="23">
        <f>G28*操作说明!$B$5/1000</f>
        <v>7.3023999999999996</v>
      </c>
    </row>
    <row r="29" spans="1:9" ht="25.05" customHeight="1">
      <c r="A29">
        <v>2</v>
      </c>
      <c r="B29">
        <v>1</v>
      </c>
      <c r="C29" t="s">
        <v>58</v>
      </c>
      <c r="D29" t="s">
        <v>142</v>
      </c>
      <c r="E29" t="s">
        <v>119</v>
      </c>
      <c r="F29" s="25">
        <v>1795</v>
      </c>
      <c r="G29" s="14">
        <f>③四级吸取表!H5</f>
        <v>119.7</v>
      </c>
      <c r="H29" t="str">
        <f t="shared" si="0"/>
        <v>P200</v>
      </c>
      <c r="I29" s="22">
        <f>G29*操作说明!$B$5/1000</f>
        <v>1.9152</v>
      </c>
    </row>
    <row r="30" spans="1:9" ht="25.05" customHeight="1">
      <c r="A30" s="8">
        <v>2</v>
      </c>
      <c r="B30" s="8">
        <v>2</v>
      </c>
      <c r="C30" s="8" t="s">
        <v>62</v>
      </c>
      <c r="D30" s="8" t="s">
        <v>142</v>
      </c>
      <c r="E30" s="8" t="s">
        <v>121</v>
      </c>
      <c r="F30" s="26">
        <v>63221</v>
      </c>
      <c r="G30" s="20">
        <f>③四级吸取表!H6</f>
        <v>131.69999999999999</v>
      </c>
      <c r="H30" s="8" t="str">
        <f t="shared" si="0"/>
        <v>P200</v>
      </c>
      <c r="I30" s="23">
        <f>G30*操作说明!$B$5/1000</f>
        <v>2.1071999999999997</v>
      </c>
    </row>
    <row r="31" spans="1:9" ht="25.05" customHeight="1">
      <c r="A31">
        <v>2</v>
      </c>
      <c r="B31">
        <v>3</v>
      </c>
      <c r="C31" t="s">
        <v>64</v>
      </c>
      <c r="D31" t="s">
        <v>141</v>
      </c>
      <c r="E31" t="s">
        <v>63</v>
      </c>
      <c r="F31" s="25">
        <v>1750000</v>
      </c>
      <c r="G31" s="14">
        <f>③四级吸取表!H7</f>
        <v>116.7</v>
      </c>
      <c r="H31" t="str">
        <f t="shared" si="0"/>
        <v>P200</v>
      </c>
      <c r="I31" s="22">
        <f>G31*操作说明!$B$5/1000</f>
        <v>1.8672</v>
      </c>
    </row>
    <row r="32" spans="1:9" ht="25.05" customHeight="1">
      <c r="A32" s="8">
        <v>2</v>
      </c>
      <c r="B32" s="8">
        <v>4</v>
      </c>
      <c r="C32" s="8" t="s">
        <v>66</v>
      </c>
      <c r="D32" s="8" t="s">
        <v>141</v>
      </c>
      <c r="E32" s="8" t="s">
        <v>65</v>
      </c>
      <c r="F32" s="26">
        <v>18000</v>
      </c>
      <c r="G32" s="20">
        <f>③四级吸取表!H8</f>
        <v>30</v>
      </c>
      <c r="H32" s="8" t="str">
        <f t="shared" si="0"/>
        <v>P200</v>
      </c>
      <c r="I32" s="23">
        <f>G32*操作说明!$B$5/1000</f>
        <v>0.48</v>
      </c>
    </row>
    <row r="33" spans="1:9" ht="25.05" customHeight="1">
      <c r="A33">
        <v>2</v>
      </c>
      <c r="B33">
        <v>5</v>
      </c>
      <c r="C33" t="s">
        <v>68</v>
      </c>
      <c r="D33" t="s">
        <v>142</v>
      </c>
      <c r="E33" t="s">
        <v>122</v>
      </c>
      <c r="F33" s="25">
        <v>12190</v>
      </c>
      <c r="G33" s="14">
        <f>③四级吸取表!H9</f>
        <v>121.8</v>
      </c>
      <c r="H33" t="str">
        <f t="shared" si="0"/>
        <v>P200</v>
      </c>
      <c r="I33" s="22">
        <f>G33*操作说明!$B$5/1000</f>
        <v>1.9487999999999999</v>
      </c>
    </row>
    <row r="34" spans="1:9" ht="25.05" customHeight="1">
      <c r="A34" s="8">
        <v>2</v>
      </c>
      <c r="B34" s="8">
        <v>6</v>
      </c>
      <c r="C34" s="8" t="s">
        <v>70</v>
      </c>
      <c r="D34" s="8" t="s">
        <v>141</v>
      </c>
      <c r="E34" s="8" t="s">
        <v>69</v>
      </c>
      <c r="F34" s="26">
        <v>33000</v>
      </c>
      <c r="G34" s="20">
        <f>③四级吸取表!H10</f>
        <v>38.799999999999997</v>
      </c>
      <c r="H34" s="8" t="str">
        <f t="shared" si="0"/>
        <v>P200</v>
      </c>
      <c r="I34" s="23">
        <f>G34*操作说明!$B$5/1000</f>
        <v>0.62079999999999991</v>
      </c>
    </row>
    <row r="35" spans="1:9" ht="25.05" customHeight="1">
      <c r="A35">
        <v>2</v>
      </c>
      <c r="B35">
        <v>7</v>
      </c>
      <c r="C35" t="s">
        <v>72</v>
      </c>
      <c r="D35" t="s">
        <v>141</v>
      </c>
      <c r="E35" t="s">
        <v>71</v>
      </c>
      <c r="F35" s="25">
        <v>2400</v>
      </c>
      <c r="G35" s="14">
        <f>③四级吸取表!H11</f>
        <v>24</v>
      </c>
      <c r="H35" t="str">
        <f t="shared" si="0"/>
        <v>P200</v>
      </c>
      <c r="I35" s="22">
        <f>G35*操作说明!$B$5/1000</f>
        <v>0.38400000000000001</v>
      </c>
    </row>
    <row r="36" spans="1:9" ht="25.05" customHeight="1">
      <c r="A36" s="8">
        <v>2</v>
      </c>
      <c r="B36" s="8">
        <v>8</v>
      </c>
      <c r="C36" s="8" t="s">
        <v>74</v>
      </c>
      <c r="D36" s="8" t="s">
        <v>142</v>
      </c>
      <c r="E36" s="8" t="s">
        <v>123</v>
      </c>
      <c r="F36" s="26">
        <v>13500</v>
      </c>
      <c r="G36" s="20">
        <f>③四级吸取表!H12</f>
        <v>135</v>
      </c>
      <c r="H36" s="8" t="str">
        <f t="shared" si="0"/>
        <v>P200</v>
      </c>
      <c r="I36" s="23">
        <f>G36*操作说明!$B$5/1000</f>
        <v>2.16</v>
      </c>
    </row>
    <row r="37" spans="1:9" ht="25.05" customHeight="1">
      <c r="A37">
        <v>2</v>
      </c>
      <c r="B37">
        <v>9</v>
      </c>
      <c r="C37" t="s">
        <v>76</v>
      </c>
      <c r="D37" t="s">
        <v>141</v>
      </c>
      <c r="E37" t="s">
        <v>75</v>
      </c>
      <c r="F37" s="25">
        <v>89806</v>
      </c>
      <c r="G37" s="14">
        <f>③四级吸取表!H13</f>
        <v>44.9</v>
      </c>
      <c r="H37" t="str">
        <f t="shared" ref="H37:H68" si="1">IF(G37&lt;=10,"P10",IF(G37&lt;=20,"P20",IF(G37&lt;=200,"P200","P1000")))</f>
        <v>P200</v>
      </c>
      <c r="I37" s="22">
        <f>G37*操作说明!$B$5/1000</f>
        <v>0.71839999999999993</v>
      </c>
    </row>
    <row r="38" spans="1:9" ht="25.05" customHeight="1">
      <c r="A38" s="8">
        <v>2</v>
      </c>
      <c r="B38" s="8">
        <v>10</v>
      </c>
      <c r="C38" s="8" t="s">
        <v>78</v>
      </c>
      <c r="D38" s="8" t="s">
        <v>142</v>
      </c>
      <c r="E38" s="8" t="s">
        <v>124</v>
      </c>
      <c r="F38" s="26">
        <v>4971</v>
      </c>
      <c r="G38" s="20">
        <f>③四级吸取表!H14</f>
        <v>99.6</v>
      </c>
      <c r="H38" s="8" t="str">
        <f t="shared" si="1"/>
        <v>P200</v>
      </c>
      <c r="I38" s="23">
        <f>G38*操作说明!$B$5/1000</f>
        <v>1.5935999999999999</v>
      </c>
    </row>
    <row r="39" spans="1:9" ht="25.05" customHeight="1">
      <c r="A39">
        <v>2</v>
      </c>
      <c r="B39">
        <v>11</v>
      </c>
      <c r="C39" t="s">
        <v>80</v>
      </c>
      <c r="D39" t="s">
        <v>141</v>
      </c>
      <c r="E39" t="s">
        <v>79</v>
      </c>
      <c r="F39" s="25">
        <v>25000</v>
      </c>
      <c r="G39" s="14">
        <f>③四级吸取表!H15</f>
        <v>125.4</v>
      </c>
      <c r="H39" t="str">
        <f t="shared" si="1"/>
        <v>P200</v>
      </c>
      <c r="I39" s="22">
        <f>G39*操作说明!$B$5/1000</f>
        <v>2.0064000000000002</v>
      </c>
    </row>
    <row r="40" spans="1:9" ht="25.05" customHeight="1">
      <c r="A40" s="8">
        <v>2</v>
      </c>
      <c r="B40" s="8">
        <v>12</v>
      </c>
      <c r="C40" s="8" t="s">
        <v>82</v>
      </c>
      <c r="D40" s="8" t="s">
        <v>141</v>
      </c>
      <c r="E40" s="8" t="s">
        <v>81</v>
      </c>
      <c r="F40" s="26">
        <v>600000</v>
      </c>
      <c r="G40" s="20">
        <f>③四级吸取表!H16</f>
        <v>120</v>
      </c>
      <c r="H40" s="8" t="str">
        <f t="shared" si="1"/>
        <v>P200</v>
      </c>
      <c r="I40" s="23">
        <f>G40*操作说明!$B$5/1000</f>
        <v>1.92</v>
      </c>
    </row>
    <row r="41" spans="1:9" ht="25.05" customHeight="1">
      <c r="A41">
        <v>2</v>
      </c>
      <c r="B41">
        <v>13</v>
      </c>
      <c r="C41" t="s">
        <v>84</v>
      </c>
      <c r="D41" t="s">
        <v>141</v>
      </c>
      <c r="E41" t="s">
        <v>83</v>
      </c>
      <c r="F41" s="25">
        <v>22500</v>
      </c>
      <c r="G41" s="14">
        <f>③四级吸取表!H17</f>
        <v>74.900000000000006</v>
      </c>
      <c r="H41" t="str">
        <f t="shared" si="1"/>
        <v>P200</v>
      </c>
      <c r="I41" s="22">
        <f>G41*操作说明!$B$5/1000</f>
        <v>1.1984000000000001</v>
      </c>
    </row>
    <row r="42" spans="1:9" ht="25.05" customHeight="1">
      <c r="A42" s="8">
        <v>2</v>
      </c>
      <c r="B42" s="8">
        <v>14</v>
      </c>
      <c r="C42" s="8" t="s">
        <v>86</v>
      </c>
      <c r="D42" s="8" t="s">
        <v>141</v>
      </c>
      <c r="E42" s="8" t="s">
        <v>85</v>
      </c>
      <c r="F42" s="26">
        <v>30000</v>
      </c>
      <c r="G42" s="20">
        <f>③四级吸取表!H18</f>
        <v>62.5</v>
      </c>
      <c r="H42" s="8" t="str">
        <f t="shared" si="1"/>
        <v>P200</v>
      </c>
      <c r="I42" s="23">
        <f>G42*操作说明!$B$5/1000</f>
        <v>1</v>
      </c>
    </row>
    <row r="43" spans="1:9" ht="25.05" customHeight="1">
      <c r="A43">
        <v>2</v>
      </c>
      <c r="B43">
        <v>15</v>
      </c>
      <c r="C43" t="s">
        <v>88</v>
      </c>
      <c r="D43" t="s">
        <v>141</v>
      </c>
      <c r="E43" t="s">
        <v>87</v>
      </c>
      <c r="F43" s="25">
        <v>30000</v>
      </c>
      <c r="G43" s="14">
        <f>③四级吸取表!H19</f>
        <v>37.5</v>
      </c>
      <c r="H43" t="str">
        <f t="shared" si="1"/>
        <v>P200</v>
      </c>
      <c r="I43" s="22">
        <f>G43*操作说明!$B$5/1000</f>
        <v>0.6</v>
      </c>
    </row>
    <row r="44" spans="1:9" ht="25.05" customHeight="1">
      <c r="A44" s="8">
        <v>2</v>
      </c>
      <c r="B44" s="8">
        <v>16</v>
      </c>
      <c r="C44" s="8" t="s">
        <v>90</v>
      </c>
      <c r="D44" s="8" t="s">
        <v>141</v>
      </c>
      <c r="E44" s="8" t="s">
        <v>89</v>
      </c>
      <c r="F44" s="26">
        <v>36000</v>
      </c>
      <c r="G44" s="20">
        <f>③四级吸取表!H20</f>
        <v>71.900000000000006</v>
      </c>
      <c r="H44" s="8" t="str">
        <f t="shared" si="1"/>
        <v>P200</v>
      </c>
      <c r="I44" s="23">
        <f>G44*操作说明!$B$5/1000</f>
        <v>1.1504000000000001</v>
      </c>
    </row>
    <row r="45" spans="1:9" ht="25.05" customHeight="1">
      <c r="A45">
        <v>2</v>
      </c>
      <c r="B45">
        <v>17</v>
      </c>
      <c r="C45" t="s">
        <v>92</v>
      </c>
      <c r="D45" t="s">
        <v>141</v>
      </c>
      <c r="E45" t="s">
        <v>91</v>
      </c>
      <c r="F45" s="25">
        <v>110000</v>
      </c>
      <c r="G45" s="14">
        <f>③四级吸取表!H21</f>
        <v>73.400000000000006</v>
      </c>
      <c r="H45" t="str">
        <f t="shared" si="1"/>
        <v>P200</v>
      </c>
      <c r="I45" s="22">
        <f>G45*操作说明!$B$5/1000</f>
        <v>1.1744000000000001</v>
      </c>
    </row>
    <row r="46" spans="1:9" ht="25.05" customHeight="1">
      <c r="A46" s="8">
        <v>2</v>
      </c>
      <c r="B46" s="8">
        <v>18</v>
      </c>
      <c r="C46" s="8" t="s">
        <v>94</v>
      </c>
      <c r="D46" s="8" t="s">
        <v>141</v>
      </c>
      <c r="E46" s="8" t="s">
        <v>93</v>
      </c>
      <c r="F46" s="26">
        <v>1200000</v>
      </c>
      <c r="G46" s="20">
        <f>③四级吸取表!H22</f>
        <v>160</v>
      </c>
      <c r="H46" s="8" t="str">
        <f t="shared" si="1"/>
        <v>P200</v>
      </c>
      <c r="I46" s="23">
        <f>G46*操作说明!$B$5/1000</f>
        <v>2.56</v>
      </c>
    </row>
    <row r="47" spans="1:9" ht="25.05" customHeight="1">
      <c r="A47">
        <v>2</v>
      </c>
      <c r="B47">
        <v>19</v>
      </c>
      <c r="C47" t="s">
        <v>96</v>
      </c>
      <c r="D47" t="s">
        <v>141</v>
      </c>
      <c r="E47" t="s">
        <v>95</v>
      </c>
      <c r="F47" s="25">
        <v>12000</v>
      </c>
      <c r="G47" s="14">
        <f>③四级吸取表!H23</f>
        <v>79.8</v>
      </c>
      <c r="H47" t="str">
        <f t="shared" si="1"/>
        <v>P200</v>
      </c>
      <c r="I47" s="22">
        <f>G47*操作说明!$B$5/1000</f>
        <v>1.2767999999999999</v>
      </c>
    </row>
    <row r="48" spans="1:9" ht="25.05" customHeight="1">
      <c r="A48" s="8">
        <v>2</v>
      </c>
      <c r="B48" s="8">
        <v>20</v>
      </c>
      <c r="C48" s="8" t="s">
        <v>98</v>
      </c>
      <c r="D48" s="8" t="s">
        <v>141</v>
      </c>
      <c r="E48" s="8" t="s">
        <v>97</v>
      </c>
      <c r="F48" s="26">
        <v>12000</v>
      </c>
      <c r="G48" s="20">
        <f>③四级吸取表!H24</f>
        <v>26.7</v>
      </c>
      <c r="H48" s="8" t="str">
        <f t="shared" si="1"/>
        <v>P200</v>
      </c>
      <c r="I48" s="23">
        <f>G48*操作说明!$B$5/1000</f>
        <v>0.42719999999999997</v>
      </c>
    </row>
    <row r="49" spans="1:9" ht="25.05" customHeight="1">
      <c r="A49">
        <v>2</v>
      </c>
      <c r="B49">
        <v>21</v>
      </c>
      <c r="C49" t="s">
        <v>100</v>
      </c>
      <c r="D49" t="s">
        <v>142</v>
      </c>
      <c r="E49" t="s">
        <v>125</v>
      </c>
      <c r="F49" s="25">
        <v>6250</v>
      </c>
      <c r="G49" s="14">
        <f>③四级吸取表!H25</f>
        <v>124.9</v>
      </c>
      <c r="H49" t="str">
        <f t="shared" si="1"/>
        <v>P200</v>
      </c>
      <c r="I49" s="22">
        <f>G49*操作说明!$B$5/1000</f>
        <v>1.9984000000000002</v>
      </c>
    </row>
    <row r="50" spans="1:9" ht="25.05" customHeight="1">
      <c r="A50" s="8">
        <v>2</v>
      </c>
      <c r="B50" s="8">
        <v>22</v>
      </c>
      <c r="C50" s="8" t="s">
        <v>102</v>
      </c>
      <c r="D50" s="8" t="s">
        <v>141</v>
      </c>
      <c r="E50" s="8" t="s">
        <v>101</v>
      </c>
      <c r="F50" s="26">
        <v>120000</v>
      </c>
      <c r="G50" s="20">
        <f>③四级吸取表!H26</f>
        <v>60</v>
      </c>
      <c r="H50" s="8" t="str">
        <f t="shared" si="1"/>
        <v>P200</v>
      </c>
      <c r="I50" s="23">
        <f>G50*操作说明!$B$5/1000</f>
        <v>0.96</v>
      </c>
    </row>
    <row r="51" spans="1:9" ht="25.05" customHeight="1">
      <c r="A51">
        <v>2</v>
      </c>
      <c r="B51">
        <v>23</v>
      </c>
      <c r="C51" t="s">
        <v>104</v>
      </c>
      <c r="D51" t="s">
        <v>141</v>
      </c>
      <c r="E51" t="s">
        <v>103</v>
      </c>
      <c r="F51" s="25">
        <v>64000</v>
      </c>
      <c r="G51" s="14">
        <f>③四级吸取表!H27</f>
        <v>64</v>
      </c>
      <c r="H51" t="str">
        <f t="shared" si="1"/>
        <v>P200</v>
      </c>
      <c r="I51" s="22">
        <f>G51*操作说明!$B$5/1000</f>
        <v>1.024</v>
      </c>
    </row>
    <row r="52" spans="1:9" ht="25.05" customHeight="1">
      <c r="A52" s="8">
        <v>2</v>
      </c>
      <c r="B52" s="8">
        <v>24</v>
      </c>
      <c r="C52" s="8" t="s">
        <v>106</v>
      </c>
      <c r="D52" s="8" t="s">
        <v>141</v>
      </c>
      <c r="E52" s="8" t="s">
        <v>105</v>
      </c>
      <c r="F52" s="26">
        <v>11000</v>
      </c>
      <c r="G52" s="20">
        <f>③四级吸取表!H28</f>
        <v>42.3</v>
      </c>
      <c r="H52" s="8" t="str">
        <f t="shared" si="1"/>
        <v>P200</v>
      </c>
      <c r="I52" s="23">
        <f>G52*操作说明!$B$5/1000</f>
        <v>0.67679999999999996</v>
      </c>
    </row>
    <row r="53" spans="1:9" ht="25.05" customHeight="1">
      <c r="A53">
        <v>3</v>
      </c>
      <c r="B53">
        <v>1</v>
      </c>
      <c r="C53" t="s">
        <v>58</v>
      </c>
      <c r="D53" t="s">
        <v>142</v>
      </c>
      <c r="E53" t="s">
        <v>119</v>
      </c>
      <c r="F53" s="25">
        <v>900</v>
      </c>
      <c r="G53" s="14">
        <f>③四级吸取表!J5</f>
        <v>60</v>
      </c>
      <c r="H53" t="str">
        <f t="shared" si="1"/>
        <v>P200</v>
      </c>
      <c r="I53" s="22">
        <f>G53*操作说明!$B$5/1000</f>
        <v>0.96</v>
      </c>
    </row>
    <row r="54" spans="1:9" ht="25.05" customHeight="1">
      <c r="A54" s="8">
        <v>3</v>
      </c>
      <c r="B54" s="8">
        <v>2</v>
      </c>
      <c r="C54" s="8" t="s">
        <v>62</v>
      </c>
      <c r="D54" s="8" t="s">
        <v>142</v>
      </c>
      <c r="E54" s="8" t="s">
        <v>121</v>
      </c>
      <c r="F54" s="26">
        <v>15000</v>
      </c>
      <c r="G54" s="20">
        <f>③四级吸取表!J6</f>
        <v>31.3</v>
      </c>
      <c r="H54" s="8" t="str">
        <f t="shared" si="1"/>
        <v>P200</v>
      </c>
      <c r="I54" s="23">
        <f>G54*操作说明!$B$5/1000</f>
        <v>0.50080000000000002</v>
      </c>
    </row>
    <row r="55" spans="1:9" ht="25.05" customHeight="1">
      <c r="A55">
        <v>3</v>
      </c>
      <c r="B55">
        <v>3</v>
      </c>
      <c r="C55" t="s">
        <v>64</v>
      </c>
      <c r="D55" t="s">
        <v>141</v>
      </c>
      <c r="E55" t="s">
        <v>63</v>
      </c>
      <c r="F55" s="25">
        <v>588550</v>
      </c>
      <c r="G55" s="14">
        <f>③四级吸取表!J7</f>
        <v>39.200000000000003</v>
      </c>
      <c r="H55" t="str">
        <f t="shared" si="1"/>
        <v>P200</v>
      </c>
      <c r="I55" s="22">
        <f>G55*操作说明!$B$5/1000</f>
        <v>0.62720000000000009</v>
      </c>
    </row>
    <row r="56" spans="1:9" ht="25.05" customHeight="1">
      <c r="A56" s="8">
        <v>3</v>
      </c>
      <c r="B56" s="8">
        <v>4</v>
      </c>
      <c r="C56" s="8" t="s">
        <v>66</v>
      </c>
      <c r="D56" s="8" t="s">
        <v>141</v>
      </c>
      <c r="E56" s="8" t="s">
        <v>65</v>
      </c>
      <c r="F56" s="26">
        <v>3600</v>
      </c>
      <c r="G56" s="20">
        <f>③四级吸取表!J8</f>
        <v>6</v>
      </c>
      <c r="H56" s="8" t="str">
        <f t="shared" si="1"/>
        <v>P10</v>
      </c>
      <c r="I56" s="23">
        <f>G56*操作说明!$B$5/1000</f>
        <v>9.6000000000000002E-2</v>
      </c>
    </row>
    <row r="57" spans="1:9" ht="25.05" customHeight="1">
      <c r="A57">
        <v>3</v>
      </c>
      <c r="B57">
        <v>5</v>
      </c>
      <c r="C57" t="s">
        <v>68</v>
      </c>
      <c r="D57" t="s">
        <v>142</v>
      </c>
      <c r="E57" t="s">
        <v>122</v>
      </c>
      <c r="F57" s="25">
        <v>3750</v>
      </c>
      <c r="G57" s="14">
        <f>③四级吸取表!J9</f>
        <v>37.5</v>
      </c>
      <c r="H57" t="str">
        <f t="shared" si="1"/>
        <v>P200</v>
      </c>
      <c r="I57" s="22">
        <f>G57*操作说明!$B$5/1000</f>
        <v>0.6</v>
      </c>
    </row>
    <row r="58" spans="1:9" ht="25.05" customHeight="1">
      <c r="A58" s="8">
        <v>3</v>
      </c>
      <c r="B58" s="8">
        <v>6</v>
      </c>
      <c r="C58" s="8" t="s">
        <v>70</v>
      </c>
      <c r="D58" s="8" t="s">
        <v>141</v>
      </c>
      <c r="E58" s="8" t="s">
        <v>69</v>
      </c>
      <c r="F58" s="26">
        <v>11735</v>
      </c>
      <c r="G58" s="20">
        <f>③四级吸取表!J10</f>
        <v>13.8</v>
      </c>
      <c r="H58" s="8" t="str">
        <f t="shared" si="1"/>
        <v>P20</v>
      </c>
      <c r="I58" s="23">
        <f>G58*操作说明!$B$5/1000</f>
        <v>0.22080000000000002</v>
      </c>
    </row>
    <row r="59" spans="1:9" ht="25.05" customHeight="1">
      <c r="A59">
        <v>3</v>
      </c>
      <c r="B59">
        <v>7</v>
      </c>
      <c r="C59" t="s">
        <v>72</v>
      </c>
      <c r="D59" t="s">
        <v>141</v>
      </c>
      <c r="E59" t="s">
        <v>71</v>
      </c>
      <c r="F59" s="25">
        <v>500</v>
      </c>
      <c r="G59" s="14">
        <f>③四级吸取表!J11</f>
        <v>5</v>
      </c>
      <c r="H59" t="str">
        <f t="shared" si="1"/>
        <v>P10</v>
      </c>
      <c r="I59" s="22">
        <f>G59*操作说明!$B$5/1000</f>
        <v>0.08</v>
      </c>
    </row>
    <row r="60" spans="1:9" ht="25.05" customHeight="1">
      <c r="A60" s="8">
        <v>3</v>
      </c>
      <c r="B60" s="8">
        <v>8</v>
      </c>
      <c r="C60" s="8" t="s">
        <v>74</v>
      </c>
      <c r="D60" s="8" t="s">
        <v>142</v>
      </c>
      <c r="E60" s="8" t="s">
        <v>123</v>
      </c>
      <c r="F60" s="26">
        <v>2700</v>
      </c>
      <c r="G60" s="20">
        <f>③四级吸取表!J12</f>
        <v>27</v>
      </c>
      <c r="H60" s="8" t="str">
        <f t="shared" si="1"/>
        <v>P200</v>
      </c>
      <c r="I60" s="23">
        <f>G60*操作说明!$B$5/1000</f>
        <v>0.432</v>
      </c>
    </row>
    <row r="61" spans="1:9" ht="25.05" customHeight="1">
      <c r="A61">
        <v>3</v>
      </c>
      <c r="B61">
        <v>9</v>
      </c>
      <c r="C61" t="s">
        <v>76</v>
      </c>
      <c r="D61" t="s">
        <v>141</v>
      </c>
      <c r="E61" t="s">
        <v>75</v>
      </c>
      <c r="F61" s="25">
        <v>24000</v>
      </c>
      <c r="G61" s="14">
        <f>③四级吸取表!J13</f>
        <v>12</v>
      </c>
      <c r="H61" t="str">
        <f t="shared" si="1"/>
        <v>P20</v>
      </c>
      <c r="I61" s="22">
        <f>G61*操作说明!$B$5/1000</f>
        <v>0.192</v>
      </c>
    </row>
    <row r="62" spans="1:9" ht="25.05" customHeight="1">
      <c r="A62" s="8">
        <v>3</v>
      </c>
      <c r="B62" s="8">
        <v>10</v>
      </c>
      <c r="C62" s="8" t="s">
        <v>78</v>
      </c>
      <c r="D62" s="8" t="s">
        <v>142</v>
      </c>
      <c r="E62" s="8" t="s">
        <v>124</v>
      </c>
      <c r="F62" s="26">
        <v>1750</v>
      </c>
      <c r="G62" s="20">
        <f>③四级吸取表!J14</f>
        <v>35.1</v>
      </c>
      <c r="H62" s="8" t="str">
        <f t="shared" si="1"/>
        <v>P200</v>
      </c>
      <c r="I62" s="23">
        <f>G62*操作说明!$B$5/1000</f>
        <v>0.56159999999999999</v>
      </c>
    </row>
    <row r="63" spans="1:9" ht="25.05" customHeight="1">
      <c r="A63">
        <v>3</v>
      </c>
      <c r="B63">
        <v>11</v>
      </c>
      <c r="C63" t="s">
        <v>80</v>
      </c>
      <c r="D63" t="s">
        <v>141</v>
      </c>
      <c r="E63" t="s">
        <v>79</v>
      </c>
      <c r="F63" s="25">
        <v>7500</v>
      </c>
      <c r="G63" s="14">
        <f>③四级吸取表!J15</f>
        <v>37.6</v>
      </c>
      <c r="H63" t="str">
        <f t="shared" si="1"/>
        <v>P200</v>
      </c>
      <c r="I63" s="22">
        <f>G63*操作说明!$B$5/1000</f>
        <v>0.60160000000000002</v>
      </c>
    </row>
    <row r="64" spans="1:9" ht="25.05" customHeight="1">
      <c r="A64" s="8">
        <v>3</v>
      </c>
      <c r="B64" s="8">
        <v>12</v>
      </c>
      <c r="C64" s="8" t="s">
        <v>82</v>
      </c>
      <c r="D64" s="8" t="s">
        <v>141</v>
      </c>
      <c r="E64" s="8" t="s">
        <v>81</v>
      </c>
      <c r="F64" s="26">
        <v>130000</v>
      </c>
      <c r="G64" s="20">
        <f>③四级吸取表!J16</f>
        <v>26</v>
      </c>
      <c r="H64" s="8" t="str">
        <f t="shared" si="1"/>
        <v>P200</v>
      </c>
      <c r="I64" s="23">
        <f>G64*操作说明!$B$5/1000</f>
        <v>0.41599999999999998</v>
      </c>
    </row>
    <row r="65" spans="1:9" ht="25.05" customHeight="1">
      <c r="A65">
        <v>3</v>
      </c>
      <c r="B65">
        <v>13</v>
      </c>
      <c r="C65" t="s">
        <v>84</v>
      </c>
      <c r="D65" t="s">
        <v>141</v>
      </c>
      <c r="E65" t="s">
        <v>83</v>
      </c>
      <c r="F65" s="25">
        <v>3000</v>
      </c>
      <c r="G65" s="14">
        <f>③四级吸取表!J17</f>
        <v>10</v>
      </c>
      <c r="H65" t="str">
        <f t="shared" si="1"/>
        <v>P10</v>
      </c>
      <c r="I65" s="22">
        <f>G65*操作说明!$B$5/1000</f>
        <v>0.16</v>
      </c>
    </row>
    <row r="66" spans="1:9" ht="25.05" customHeight="1">
      <c r="A66" s="8">
        <v>3</v>
      </c>
      <c r="B66" s="8">
        <v>14</v>
      </c>
      <c r="C66" s="8" t="s">
        <v>86</v>
      </c>
      <c r="D66" s="8" t="s">
        <v>141</v>
      </c>
      <c r="E66" s="8" t="s">
        <v>85</v>
      </c>
      <c r="F66" s="26">
        <v>8600</v>
      </c>
      <c r="G66" s="20">
        <f>③四级吸取表!J18</f>
        <v>17.899999999999999</v>
      </c>
      <c r="H66" s="8" t="str">
        <f t="shared" si="1"/>
        <v>P20</v>
      </c>
      <c r="I66" s="23">
        <f>G66*操作说明!$B$5/1000</f>
        <v>0.28639999999999999</v>
      </c>
    </row>
    <row r="67" spans="1:9" ht="25.05" customHeight="1">
      <c r="A67">
        <v>3</v>
      </c>
      <c r="B67">
        <v>15</v>
      </c>
      <c r="C67" t="s">
        <v>88</v>
      </c>
      <c r="D67" t="s">
        <v>141</v>
      </c>
      <c r="E67" t="s">
        <v>87</v>
      </c>
      <c r="F67" s="25">
        <v>8600</v>
      </c>
      <c r="G67" s="14">
        <f>③四级吸取表!J19</f>
        <v>10.7</v>
      </c>
      <c r="H67" t="str">
        <f t="shared" si="1"/>
        <v>P20</v>
      </c>
      <c r="I67" s="22">
        <f>G67*操作说明!$B$5/1000</f>
        <v>0.17119999999999999</v>
      </c>
    </row>
    <row r="68" spans="1:9" ht="25.05" customHeight="1">
      <c r="A68" s="8">
        <v>3</v>
      </c>
      <c r="B68" s="8">
        <v>16</v>
      </c>
      <c r="C68" s="8" t="s">
        <v>90</v>
      </c>
      <c r="D68" s="8" t="s">
        <v>141</v>
      </c>
      <c r="E68" s="8" t="s">
        <v>89</v>
      </c>
      <c r="F68" s="26">
        <v>10000</v>
      </c>
      <c r="G68" s="20">
        <f>③四级吸取表!J20</f>
        <v>20</v>
      </c>
      <c r="H68" s="8" t="str">
        <f t="shared" si="1"/>
        <v>P20</v>
      </c>
      <c r="I68" s="23">
        <f>G68*操作说明!$B$5/1000</f>
        <v>0.32</v>
      </c>
    </row>
    <row r="69" spans="1:9" ht="25.05" customHeight="1">
      <c r="A69">
        <v>3</v>
      </c>
      <c r="B69">
        <v>17</v>
      </c>
      <c r="C69" t="s">
        <v>92</v>
      </c>
      <c r="D69" t="s">
        <v>141</v>
      </c>
      <c r="E69" t="s">
        <v>91</v>
      </c>
      <c r="F69" s="25">
        <v>41551</v>
      </c>
      <c r="G69" s="14">
        <f>③四级吸取表!J21</f>
        <v>27.7</v>
      </c>
      <c r="H69" t="str">
        <f t="shared" ref="H69:H100" si="2">IF(G69&lt;=10,"P10",IF(G69&lt;=20,"P20",IF(G69&lt;=200,"P200","P1000")))</f>
        <v>P200</v>
      </c>
      <c r="I69" s="22">
        <f>G69*操作说明!$B$5/1000</f>
        <v>0.44319999999999998</v>
      </c>
    </row>
    <row r="70" spans="1:9" ht="25.05" customHeight="1">
      <c r="A70" s="8">
        <v>3</v>
      </c>
      <c r="B70" s="8">
        <v>18</v>
      </c>
      <c r="C70" s="8" t="s">
        <v>94</v>
      </c>
      <c r="D70" s="8" t="s">
        <v>141</v>
      </c>
      <c r="E70" s="8" t="s">
        <v>93</v>
      </c>
      <c r="F70" s="26">
        <v>320000</v>
      </c>
      <c r="G70" s="20">
        <f>③四级吸取表!J22</f>
        <v>42.7</v>
      </c>
      <c r="H70" s="8" t="str">
        <f t="shared" si="2"/>
        <v>P200</v>
      </c>
      <c r="I70" s="23">
        <f>G70*操作说明!$B$5/1000</f>
        <v>0.68320000000000003</v>
      </c>
    </row>
    <row r="71" spans="1:9" ht="25.05" customHeight="1">
      <c r="A71">
        <v>3</v>
      </c>
      <c r="B71">
        <v>19</v>
      </c>
      <c r="C71" t="s">
        <v>96</v>
      </c>
      <c r="D71" t="s">
        <v>141</v>
      </c>
      <c r="E71" t="s">
        <v>95</v>
      </c>
      <c r="F71" s="25">
        <v>5762</v>
      </c>
      <c r="G71" s="14">
        <f>③四级吸取表!J23</f>
        <v>38.299999999999997</v>
      </c>
      <c r="H71" t="str">
        <f t="shared" si="2"/>
        <v>P200</v>
      </c>
      <c r="I71" s="22">
        <f>G71*操作说明!$B$5/1000</f>
        <v>0.6127999999999999</v>
      </c>
    </row>
    <row r="72" spans="1:9" ht="25.05" customHeight="1">
      <c r="A72" s="8">
        <v>3</v>
      </c>
      <c r="B72" s="8">
        <v>20</v>
      </c>
      <c r="C72" s="8" t="s">
        <v>98</v>
      </c>
      <c r="D72" s="8" t="s">
        <v>141</v>
      </c>
      <c r="E72" s="8" t="s">
        <v>97</v>
      </c>
      <c r="F72" s="26">
        <v>9412</v>
      </c>
      <c r="G72" s="20">
        <f>③四级吸取表!J24</f>
        <v>20.9</v>
      </c>
      <c r="H72" s="8" t="str">
        <f t="shared" si="2"/>
        <v>P200</v>
      </c>
      <c r="I72" s="23">
        <f>G72*操作说明!$B$5/1000</f>
        <v>0.33439999999999998</v>
      </c>
    </row>
    <row r="73" spans="1:9" ht="25.05" customHeight="1">
      <c r="A73">
        <v>3</v>
      </c>
      <c r="B73">
        <v>21</v>
      </c>
      <c r="C73" t="s">
        <v>100</v>
      </c>
      <c r="D73" t="s">
        <v>142</v>
      </c>
      <c r="E73" t="s">
        <v>125</v>
      </c>
      <c r="F73" s="25">
        <v>1962</v>
      </c>
      <c r="G73" s="14">
        <f>③四级吸取表!J25</f>
        <v>39.200000000000003</v>
      </c>
      <c r="H73" t="str">
        <f t="shared" si="2"/>
        <v>P200</v>
      </c>
      <c r="I73" s="22">
        <f>G73*操作说明!$B$5/1000</f>
        <v>0.62720000000000009</v>
      </c>
    </row>
    <row r="74" spans="1:9" ht="25.05" customHeight="1">
      <c r="A74" s="8">
        <v>3</v>
      </c>
      <c r="B74" s="8">
        <v>22</v>
      </c>
      <c r="C74" s="8" t="s">
        <v>102</v>
      </c>
      <c r="D74" s="8" t="s">
        <v>142</v>
      </c>
      <c r="E74" s="8" t="s">
        <v>126</v>
      </c>
      <c r="F74" s="26">
        <v>1282</v>
      </c>
      <c r="G74" s="20">
        <f>③四级吸取表!J26</f>
        <v>12.8</v>
      </c>
      <c r="H74" s="8" t="str">
        <f t="shared" si="2"/>
        <v>P20</v>
      </c>
      <c r="I74" s="23">
        <f>G74*操作说明!$B$5/1000</f>
        <v>0.20480000000000001</v>
      </c>
    </row>
    <row r="75" spans="1:9" ht="25.05" customHeight="1">
      <c r="A75">
        <v>3</v>
      </c>
      <c r="B75">
        <v>23</v>
      </c>
      <c r="C75" t="s">
        <v>104</v>
      </c>
      <c r="D75" t="s">
        <v>141</v>
      </c>
      <c r="E75" t="s">
        <v>103</v>
      </c>
      <c r="F75" s="25">
        <v>29862</v>
      </c>
      <c r="G75" s="14">
        <f>③四级吸取表!J27</f>
        <v>29.9</v>
      </c>
      <c r="H75" t="str">
        <f t="shared" si="2"/>
        <v>P200</v>
      </c>
      <c r="I75" s="22">
        <f>G75*操作说明!$B$5/1000</f>
        <v>0.47839999999999999</v>
      </c>
    </row>
    <row r="76" spans="1:9" ht="25.05" customHeight="1">
      <c r="A76" s="8">
        <v>3</v>
      </c>
      <c r="B76" s="8">
        <v>24</v>
      </c>
      <c r="C76" s="8" t="s">
        <v>106</v>
      </c>
      <c r="D76" s="8" t="s">
        <v>141</v>
      </c>
      <c r="E76" s="8" t="s">
        <v>105</v>
      </c>
      <c r="F76" s="26">
        <v>2200</v>
      </c>
      <c r="G76" s="20">
        <f>③四级吸取表!J28</f>
        <v>8.5</v>
      </c>
      <c r="H76" s="8" t="str">
        <f t="shared" si="2"/>
        <v>P10</v>
      </c>
      <c r="I76" s="23">
        <f>G76*操作说明!$B$5/1000</f>
        <v>0.13600000000000001</v>
      </c>
    </row>
    <row r="77" spans="1:9" ht="25.05" customHeight="1">
      <c r="A77">
        <v>4</v>
      </c>
      <c r="B77">
        <v>1</v>
      </c>
      <c r="C77" t="s">
        <v>58</v>
      </c>
      <c r="D77" t="s">
        <v>142</v>
      </c>
      <c r="E77" t="s">
        <v>119</v>
      </c>
      <c r="F77" s="25">
        <v>150</v>
      </c>
      <c r="G77" s="14">
        <f>③四级吸取表!L5</f>
        <v>10</v>
      </c>
      <c r="H77" t="str">
        <f t="shared" si="2"/>
        <v>P10</v>
      </c>
      <c r="I77" s="22">
        <f>G77*操作说明!$B$5/1000</f>
        <v>0.16</v>
      </c>
    </row>
    <row r="78" spans="1:9" ht="25.05" customHeight="1">
      <c r="A78" s="8">
        <v>4</v>
      </c>
      <c r="B78" s="8">
        <v>2</v>
      </c>
      <c r="C78" s="8" t="s">
        <v>62</v>
      </c>
      <c r="D78" s="8" t="s">
        <v>142</v>
      </c>
      <c r="E78" s="8" t="s">
        <v>121</v>
      </c>
      <c r="F78" s="26">
        <v>2400</v>
      </c>
      <c r="G78" s="20">
        <f>③四级吸取表!L6</f>
        <v>5</v>
      </c>
      <c r="H78" s="8" t="str">
        <f t="shared" si="2"/>
        <v>P10</v>
      </c>
      <c r="I78" s="23">
        <f>G78*操作说明!$B$5/1000</f>
        <v>0.08</v>
      </c>
    </row>
    <row r="79" spans="1:9" ht="25.05" customHeight="1">
      <c r="A79">
        <v>4</v>
      </c>
      <c r="B79">
        <v>3</v>
      </c>
      <c r="C79" t="s">
        <v>64</v>
      </c>
      <c r="D79" t="s">
        <v>141</v>
      </c>
      <c r="E79" t="s">
        <v>63</v>
      </c>
      <c r="F79" s="25">
        <v>400000</v>
      </c>
      <c r="G79" s="14">
        <f>③四级吸取表!L7</f>
        <v>26.7</v>
      </c>
      <c r="H79" t="str">
        <f t="shared" si="2"/>
        <v>P200</v>
      </c>
      <c r="I79" s="22">
        <f>G79*操作说明!$B$5/1000</f>
        <v>0.42719999999999997</v>
      </c>
    </row>
    <row r="80" spans="1:9" ht="25.05" customHeight="1">
      <c r="A80" s="8">
        <v>4</v>
      </c>
      <c r="B80" s="8">
        <v>5</v>
      </c>
      <c r="C80" s="8" t="s">
        <v>68</v>
      </c>
      <c r="D80" s="8" t="s">
        <v>142</v>
      </c>
      <c r="E80" s="8" t="s">
        <v>122</v>
      </c>
      <c r="F80" s="26">
        <v>750</v>
      </c>
      <c r="G80" s="20">
        <f>③四级吸取表!L9</f>
        <v>7.5</v>
      </c>
      <c r="H80" s="8" t="str">
        <f t="shared" si="2"/>
        <v>P10</v>
      </c>
      <c r="I80" s="23">
        <f>G80*操作说明!$B$5/1000</f>
        <v>0.12</v>
      </c>
    </row>
    <row r="81" spans="1:9" ht="25.05" customHeight="1">
      <c r="A81">
        <v>4</v>
      </c>
      <c r="B81">
        <v>6</v>
      </c>
      <c r="C81" t="s">
        <v>70</v>
      </c>
      <c r="D81" t="s">
        <v>141</v>
      </c>
      <c r="E81" t="s">
        <v>69</v>
      </c>
      <c r="F81" s="25">
        <v>8000</v>
      </c>
      <c r="G81" s="14">
        <f>③四级吸取表!L10</f>
        <v>9.4</v>
      </c>
      <c r="H81" t="str">
        <f t="shared" si="2"/>
        <v>P10</v>
      </c>
      <c r="I81" s="22">
        <f>G81*操作说明!$B$5/1000</f>
        <v>0.15040000000000001</v>
      </c>
    </row>
    <row r="82" spans="1:9" ht="25.05" customHeight="1">
      <c r="A82" s="8">
        <v>4</v>
      </c>
      <c r="B82" s="8">
        <v>8</v>
      </c>
      <c r="C82" s="8" t="s">
        <v>74</v>
      </c>
      <c r="D82" s="8" t="s">
        <v>142</v>
      </c>
      <c r="E82" s="8" t="s">
        <v>123</v>
      </c>
      <c r="F82" s="26">
        <v>1025</v>
      </c>
      <c r="G82" s="20">
        <f>③四级吸取表!L12</f>
        <v>10.199999999999999</v>
      </c>
      <c r="H82" s="8" t="str">
        <f t="shared" si="2"/>
        <v>P20</v>
      </c>
      <c r="I82" s="23">
        <f>G82*操作说明!$B$5/1000</f>
        <v>0.16319999999999998</v>
      </c>
    </row>
    <row r="83" spans="1:9" ht="25.05" customHeight="1">
      <c r="A83">
        <v>4</v>
      </c>
      <c r="B83">
        <v>10</v>
      </c>
      <c r="C83" t="s">
        <v>78</v>
      </c>
      <c r="D83" t="s">
        <v>142</v>
      </c>
      <c r="E83" t="s">
        <v>124</v>
      </c>
      <c r="F83" s="25">
        <v>300</v>
      </c>
      <c r="G83" s="14">
        <f>③四级吸取表!L14</f>
        <v>6</v>
      </c>
      <c r="H83" t="str">
        <f t="shared" si="2"/>
        <v>P10</v>
      </c>
      <c r="I83" s="22">
        <f>G83*操作说明!$B$5/1000</f>
        <v>9.6000000000000002E-2</v>
      </c>
    </row>
    <row r="84" spans="1:9" ht="25.05" customHeight="1">
      <c r="A84" s="8">
        <v>4</v>
      </c>
      <c r="B84" s="8">
        <v>11</v>
      </c>
      <c r="C84" s="8" t="s">
        <v>80</v>
      </c>
      <c r="D84" s="8" t="s">
        <v>141</v>
      </c>
      <c r="E84" s="8" t="s">
        <v>79</v>
      </c>
      <c r="F84" s="26">
        <v>2117</v>
      </c>
      <c r="G84" s="20">
        <f>③四级吸取表!L15</f>
        <v>10.6</v>
      </c>
      <c r="H84" s="8" t="str">
        <f t="shared" si="2"/>
        <v>P20</v>
      </c>
      <c r="I84" s="23">
        <f>G84*操作说明!$B$5/1000</f>
        <v>0.1696</v>
      </c>
    </row>
    <row r="85" spans="1:9" ht="25.05" customHeight="1">
      <c r="A85">
        <v>4</v>
      </c>
      <c r="B85">
        <v>12</v>
      </c>
      <c r="C85" t="s">
        <v>82</v>
      </c>
      <c r="D85" t="s">
        <v>141</v>
      </c>
      <c r="E85" t="s">
        <v>81</v>
      </c>
      <c r="F85" s="25">
        <v>50000</v>
      </c>
      <c r="G85" s="14">
        <f>③四级吸取表!L16</f>
        <v>10</v>
      </c>
      <c r="H85" t="str">
        <f t="shared" si="2"/>
        <v>P10</v>
      </c>
      <c r="I85" s="22">
        <f>G85*操作说明!$B$5/1000</f>
        <v>0.16</v>
      </c>
    </row>
    <row r="86" spans="1:9" ht="25.05" customHeight="1">
      <c r="A86" s="8">
        <v>4</v>
      </c>
      <c r="B86" s="8">
        <v>14</v>
      </c>
      <c r="C86" s="8" t="s">
        <v>86</v>
      </c>
      <c r="D86" s="8" t="s">
        <v>141</v>
      </c>
      <c r="E86" s="8" t="s">
        <v>85</v>
      </c>
      <c r="F86" s="26">
        <v>2400</v>
      </c>
      <c r="G86" s="20">
        <f>③四级吸取表!L18</f>
        <v>5</v>
      </c>
      <c r="H86" s="8" t="str">
        <f t="shared" si="2"/>
        <v>P10</v>
      </c>
      <c r="I86" s="23">
        <f>G86*操作说明!$B$5/1000</f>
        <v>0.08</v>
      </c>
    </row>
    <row r="87" spans="1:9" ht="25.05" customHeight="1">
      <c r="A87">
        <v>4</v>
      </c>
      <c r="B87">
        <v>15</v>
      </c>
      <c r="C87" t="s">
        <v>88</v>
      </c>
      <c r="D87" t="s">
        <v>141</v>
      </c>
      <c r="E87" t="s">
        <v>87</v>
      </c>
      <c r="F87" s="25">
        <v>4800</v>
      </c>
      <c r="G87" s="14">
        <f>③四级吸取表!L19</f>
        <v>6</v>
      </c>
      <c r="H87" t="str">
        <f t="shared" si="2"/>
        <v>P10</v>
      </c>
      <c r="I87" s="22">
        <f>G87*操作说明!$B$5/1000</f>
        <v>9.6000000000000002E-2</v>
      </c>
    </row>
    <row r="88" spans="1:9" ht="25.05" customHeight="1">
      <c r="A88" s="8">
        <v>4</v>
      </c>
      <c r="B88" s="8">
        <v>16</v>
      </c>
      <c r="C88" s="8" t="s">
        <v>90</v>
      </c>
      <c r="D88" s="8" t="s">
        <v>141</v>
      </c>
      <c r="E88" s="8" t="s">
        <v>89</v>
      </c>
      <c r="F88" s="26">
        <v>5495</v>
      </c>
      <c r="G88" s="20">
        <f>③四级吸取表!L20</f>
        <v>11</v>
      </c>
      <c r="H88" s="8" t="str">
        <f t="shared" si="2"/>
        <v>P20</v>
      </c>
      <c r="I88" s="23">
        <f>G88*操作说明!$B$5/1000</f>
        <v>0.17599999999999999</v>
      </c>
    </row>
    <row r="89" spans="1:9" ht="25.05" customHeight="1">
      <c r="A89">
        <v>4</v>
      </c>
      <c r="B89">
        <v>17</v>
      </c>
      <c r="C89" t="s">
        <v>92</v>
      </c>
      <c r="D89" t="s">
        <v>141</v>
      </c>
      <c r="E89" t="s">
        <v>91</v>
      </c>
      <c r="F89" s="25">
        <v>15000</v>
      </c>
      <c r="G89" s="14">
        <f>③四级吸取表!L21</f>
        <v>10</v>
      </c>
      <c r="H89" t="str">
        <f t="shared" si="2"/>
        <v>P10</v>
      </c>
      <c r="I89" s="22">
        <f>G89*操作说明!$B$5/1000</f>
        <v>0.16</v>
      </c>
    </row>
    <row r="90" spans="1:9" ht="25.05" customHeight="1">
      <c r="A90" s="8">
        <v>4</v>
      </c>
      <c r="B90" s="8">
        <v>18</v>
      </c>
      <c r="C90" s="8" t="s">
        <v>94</v>
      </c>
      <c r="D90" s="8" t="s">
        <v>141</v>
      </c>
      <c r="E90" s="8" t="s">
        <v>93</v>
      </c>
      <c r="F90" s="26">
        <v>143377</v>
      </c>
      <c r="G90" s="20">
        <f>③四级吸取表!L22</f>
        <v>19.100000000000001</v>
      </c>
      <c r="H90" s="8" t="str">
        <f t="shared" si="2"/>
        <v>P20</v>
      </c>
      <c r="I90" s="23">
        <f>G90*操作说明!$B$5/1000</f>
        <v>0.30560000000000004</v>
      </c>
    </row>
    <row r="91" spans="1:9" ht="25.05" customHeight="1">
      <c r="A91">
        <v>4</v>
      </c>
      <c r="B91">
        <v>19</v>
      </c>
      <c r="C91" t="s">
        <v>96</v>
      </c>
      <c r="D91" t="s">
        <v>141</v>
      </c>
      <c r="E91" t="s">
        <v>95</v>
      </c>
      <c r="F91" s="25">
        <v>1800</v>
      </c>
      <c r="G91" s="14">
        <f>③四级吸取表!L23</f>
        <v>12</v>
      </c>
      <c r="H91" t="str">
        <f t="shared" si="2"/>
        <v>P20</v>
      </c>
      <c r="I91" s="22">
        <f>G91*操作说明!$B$5/1000</f>
        <v>0.192</v>
      </c>
    </row>
    <row r="92" spans="1:9" ht="25.05" customHeight="1">
      <c r="A92" s="8">
        <v>4</v>
      </c>
      <c r="B92" s="8">
        <v>20</v>
      </c>
      <c r="C92" s="8" t="s">
        <v>98</v>
      </c>
      <c r="D92" s="8" t="s">
        <v>141</v>
      </c>
      <c r="E92" s="8" t="s">
        <v>97</v>
      </c>
      <c r="F92" s="26">
        <v>2400</v>
      </c>
      <c r="G92" s="20">
        <f>③四级吸取表!L24</f>
        <v>5.3</v>
      </c>
      <c r="H92" s="8" t="str">
        <f t="shared" si="2"/>
        <v>P10</v>
      </c>
      <c r="I92" s="23">
        <f>G92*操作说明!$B$5/1000</f>
        <v>8.48E-2</v>
      </c>
    </row>
    <row r="93" spans="1:9" ht="25.05" customHeight="1">
      <c r="A93">
        <v>4</v>
      </c>
      <c r="B93">
        <v>21</v>
      </c>
      <c r="C93" t="s">
        <v>100</v>
      </c>
      <c r="D93" t="s">
        <v>142</v>
      </c>
      <c r="E93" t="s">
        <v>125</v>
      </c>
      <c r="F93" s="25">
        <v>1000</v>
      </c>
      <c r="G93" s="14">
        <f>③四级吸取表!L25</f>
        <v>20</v>
      </c>
      <c r="H93" t="str">
        <f t="shared" si="2"/>
        <v>P20</v>
      </c>
      <c r="I93" s="22">
        <f>G93*操作说明!$B$5/1000</f>
        <v>0.32</v>
      </c>
    </row>
    <row r="94" spans="1:9" ht="25.05" customHeight="1">
      <c r="A94" s="8">
        <v>4</v>
      </c>
      <c r="B94" s="8">
        <v>23</v>
      </c>
      <c r="C94" s="8" t="s">
        <v>104</v>
      </c>
      <c r="D94" s="8" t="s">
        <v>141</v>
      </c>
      <c r="E94" s="8" t="s">
        <v>103</v>
      </c>
      <c r="F94" s="26">
        <v>16000</v>
      </c>
      <c r="G94" s="20">
        <f>③四级吸取表!L27</f>
        <v>16</v>
      </c>
      <c r="H94" s="8" t="str">
        <f t="shared" si="2"/>
        <v>P20</v>
      </c>
      <c r="I94" s="23">
        <f>G94*操作说明!$B$5/1000</f>
        <v>0.25600000000000001</v>
      </c>
    </row>
    <row r="95" spans="1:9" ht="25.05" customHeight="1">
      <c r="A95">
        <v>4</v>
      </c>
      <c r="B95">
        <v>24</v>
      </c>
      <c r="C95" t="s">
        <v>106</v>
      </c>
      <c r="D95" t="s">
        <v>141</v>
      </c>
      <c r="E95" t="s">
        <v>105</v>
      </c>
      <c r="F95" s="25">
        <v>1305</v>
      </c>
      <c r="G95" s="14">
        <f>③四级吸取表!L28</f>
        <v>5</v>
      </c>
      <c r="H95" t="str">
        <f t="shared" si="2"/>
        <v>P10</v>
      </c>
      <c r="I95" s="22">
        <f>G95*操作说明!$B$5/1000</f>
        <v>0.08</v>
      </c>
    </row>
  </sheetData>
  <mergeCells count="2">
    <mergeCell ref="A1:I1"/>
    <mergeCell ref="A3:I3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8"/>
  <sheetViews>
    <sheetView workbookViewId="0">
      <pane ySplit="4" topLeftCell="A5" activePane="bottomLeft" state="frozen"/>
      <selection pane="bottomLeft"/>
    </sheetView>
  </sheetViews>
  <sheetFormatPr defaultRowHeight="13.8"/>
  <cols>
    <col min="1" max="1" width="8" customWidth="1"/>
    <col min="2" max="2" width="26" customWidth="1"/>
    <col min="3" max="3" width="21" customWidth="1"/>
    <col min="4" max="4" width="27" customWidth="1"/>
    <col min="5" max="5" width="91" customWidth="1"/>
    <col min="6" max="6" width="51" customWidth="1"/>
  </cols>
  <sheetData>
    <row r="1" spans="1:6" ht="37.950000000000003" customHeight="1">
      <c r="A1" s="33" t="s">
        <v>168</v>
      </c>
      <c r="B1" s="33"/>
      <c r="C1" s="33"/>
      <c r="D1" s="33"/>
      <c r="E1" s="33"/>
      <c r="F1" s="33"/>
    </row>
    <row r="3" spans="1:6">
      <c r="A3" t="s">
        <v>169</v>
      </c>
    </row>
    <row r="4" spans="1:6" ht="46.95" customHeight="1">
      <c r="A4" s="7" t="s">
        <v>161</v>
      </c>
      <c r="B4" s="7" t="s">
        <v>40</v>
      </c>
      <c r="C4" s="7" t="s">
        <v>170</v>
      </c>
      <c r="D4" s="7" t="s">
        <v>171</v>
      </c>
      <c r="E4" s="7" t="s">
        <v>172</v>
      </c>
      <c r="F4" s="7" t="s">
        <v>3</v>
      </c>
    </row>
    <row r="5" spans="1:6" ht="25.05" customHeight="1">
      <c r="A5">
        <v>1</v>
      </c>
      <c r="B5" t="s">
        <v>58</v>
      </c>
      <c r="C5" s="10">
        <v>0.86399999999999999</v>
      </c>
      <c r="D5" t="s">
        <v>173</v>
      </c>
      <c r="E5" t="s">
        <v>174</v>
      </c>
      <c r="F5" t="s">
        <v>175</v>
      </c>
    </row>
    <row r="6" spans="1:6" ht="25.05" customHeight="1">
      <c r="A6" s="8">
        <v>2</v>
      </c>
      <c r="B6" s="8" t="s">
        <v>62</v>
      </c>
      <c r="C6" s="10">
        <v>0.87350000000000005</v>
      </c>
      <c r="D6" s="8" t="s">
        <v>173</v>
      </c>
      <c r="E6" s="8" t="s">
        <v>176</v>
      </c>
      <c r="F6" s="8" t="s">
        <v>175</v>
      </c>
    </row>
    <row r="7" spans="1:6" ht="25.05" customHeight="1">
      <c r="A7">
        <v>3</v>
      </c>
      <c r="B7" t="s">
        <v>64</v>
      </c>
      <c r="C7" s="10">
        <v>0.89600000000000002</v>
      </c>
      <c r="D7" t="s">
        <v>177</v>
      </c>
      <c r="E7" t="s">
        <v>178</v>
      </c>
      <c r="F7" t="s">
        <v>175</v>
      </c>
    </row>
    <row r="8" spans="1:6" ht="25.05" customHeight="1">
      <c r="A8" s="8">
        <v>4</v>
      </c>
      <c r="B8" s="8" t="s">
        <v>66</v>
      </c>
      <c r="C8" s="10">
        <v>0.86650000000000005</v>
      </c>
      <c r="D8" s="8" t="s">
        <v>179</v>
      </c>
      <c r="E8" s="8" t="s">
        <v>180</v>
      </c>
      <c r="F8" s="8" t="s">
        <v>175</v>
      </c>
    </row>
    <row r="9" spans="1:6" ht="25.05" customHeight="1">
      <c r="A9">
        <v>5</v>
      </c>
      <c r="B9" t="s">
        <v>68</v>
      </c>
      <c r="C9" s="10">
        <v>0.87250000000000005</v>
      </c>
      <c r="D9" t="s">
        <v>173</v>
      </c>
      <c r="E9" t="s">
        <v>181</v>
      </c>
      <c r="F9" t="s">
        <v>175</v>
      </c>
    </row>
    <row r="10" spans="1:6" ht="25.05" customHeight="1">
      <c r="A10" s="8">
        <v>6</v>
      </c>
      <c r="B10" s="8" t="s">
        <v>70</v>
      </c>
      <c r="C10" s="10">
        <v>0.86950000000000005</v>
      </c>
      <c r="D10" s="8" t="s">
        <v>179</v>
      </c>
      <c r="E10" s="8" t="s">
        <v>182</v>
      </c>
      <c r="F10" s="8" t="s">
        <v>175</v>
      </c>
    </row>
    <row r="11" spans="1:6" ht="25.05" customHeight="1">
      <c r="A11">
        <v>7</v>
      </c>
      <c r="B11" t="s">
        <v>72</v>
      </c>
      <c r="C11" s="10">
        <v>0.86050000000000004</v>
      </c>
      <c r="D11" t="s">
        <v>179</v>
      </c>
      <c r="E11" t="s">
        <v>183</v>
      </c>
      <c r="F11" t="s">
        <v>175</v>
      </c>
    </row>
    <row r="12" spans="1:6" ht="25.05" customHeight="1">
      <c r="A12" s="8">
        <v>8</v>
      </c>
      <c r="B12" s="8" t="s">
        <v>74</v>
      </c>
      <c r="C12" s="10">
        <v>0.873</v>
      </c>
      <c r="D12" s="8" t="s">
        <v>173</v>
      </c>
      <c r="E12" s="8" t="s">
        <v>184</v>
      </c>
      <c r="F12" s="8" t="s">
        <v>175</v>
      </c>
    </row>
    <row r="13" spans="1:6" ht="25.05" customHeight="1">
      <c r="A13">
        <v>9</v>
      </c>
      <c r="B13" t="s">
        <v>76</v>
      </c>
      <c r="C13" s="10">
        <v>0.82650000000000001</v>
      </c>
      <c r="D13" t="s">
        <v>185</v>
      </c>
      <c r="E13" t="s">
        <v>186</v>
      </c>
      <c r="F13" t="s">
        <v>175</v>
      </c>
    </row>
    <row r="14" spans="1:6" ht="25.05" customHeight="1">
      <c r="A14" s="8">
        <v>10</v>
      </c>
      <c r="B14" s="8" t="s">
        <v>78</v>
      </c>
      <c r="C14" s="10">
        <v>0.86499999999999999</v>
      </c>
      <c r="D14" s="8" t="s">
        <v>173</v>
      </c>
      <c r="E14" s="8" t="s">
        <v>187</v>
      </c>
      <c r="F14" s="8" t="s">
        <v>175</v>
      </c>
    </row>
    <row r="15" spans="1:6" ht="25.05" customHeight="1">
      <c r="A15">
        <v>11</v>
      </c>
      <c r="B15" t="s">
        <v>80</v>
      </c>
      <c r="C15" s="10">
        <v>0.86550000000000005</v>
      </c>
      <c r="D15" t="s">
        <v>179</v>
      </c>
      <c r="E15" t="s">
        <v>188</v>
      </c>
      <c r="F15" t="s">
        <v>175</v>
      </c>
    </row>
    <row r="16" spans="1:6" ht="25.05" customHeight="1">
      <c r="A16" s="8">
        <v>12</v>
      </c>
      <c r="B16" s="8" t="s">
        <v>82</v>
      </c>
      <c r="C16" s="10">
        <v>0.92549999999999999</v>
      </c>
      <c r="D16" s="8" t="s">
        <v>189</v>
      </c>
      <c r="E16" s="8" t="s">
        <v>190</v>
      </c>
      <c r="F16" s="8" t="s">
        <v>175</v>
      </c>
    </row>
    <row r="17" spans="1:6" ht="25.05" customHeight="1">
      <c r="A17">
        <v>13</v>
      </c>
      <c r="B17" t="s">
        <v>84</v>
      </c>
      <c r="C17" s="10">
        <v>0.94599999999999995</v>
      </c>
      <c r="D17" t="s">
        <v>189</v>
      </c>
      <c r="E17" t="s">
        <v>191</v>
      </c>
      <c r="F17" t="s">
        <v>175</v>
      </c>
    </row>
    <row r="18" spans="1:6" ht="25.05" customHeight="1">
      <c r="A18" s="8">
        <v>14</v>
      </c>
      <c r="B18" s="8" t="s">
        <v>86</v>
      </c>
      <c r="C18" s="10">
        <v>0.9375</v>
      </c>
      <c r="D18" s="8" t="s">
        <v>189</v>
      </c>
      <c r="E18" s="8" t="s">
        <v>192</v>
      </c>
      <c r="F18" s="8" t="s">
        <v>175</v>
      </c>
    </row>
    <row r="19" spans="1:6" ht="25.05" customHeight="1">
      <c r="A19">
        <v>15</v>
      </c>
      <c r="B19" t="s">
        <v>88</v>
      </c>
      <c r="C19" s="10">
        <v>0.91</v>
      </c>
      <c r="D19" t="s">
        <v>193</v>
      </c>
      <c r="E19" t="s">
        <v>194</v>
      </c>
      <c r="F19" t="s">
        <v>175</v>
      </c>
    </row>
    <row r="20" spans="1:6" ht="25.05" customHeight="1">
      <c r="A20" s="8">
        <v>16</v>
      </c>
      <c r="B20" s="8" t="s">
        <v>90</v>
      </c>
      <c r="C20" s="10">
        <v>0.91749999999999998</v>
      </c>
      <c r="D20" s="8" t="s">
        <v>189</v>
      </c>
      <c r="E20" s="8" t="s">
        <v>195</v>
      </c>
      <c r="F20" s="8" t="s">
        <v>175</v>
      </c>
    </row>
    <row r="21" spans="1:6" ht="25.05" customHeight="1">
      <c r="A21">
        <v>17</v>
      </c>
      <c r="B21" t="s">
        <v>92</v>
      </c>
      <c r="C21" s="10">
        <v>0.95399999999999996</v>
      </c>
      <c r="D21" t="s">
        <v>189</v>
      </c>
      <c r="E21" t="s">
        <v>196</v>
      </c>
      <c r="F21" t="s">
        <v>175</v>
      </c>
    </row>
    <row r="22" spans="1:6" ht="25.05" customHeight="1">
      <c r="A22" s="8">
        <v>18</v>
      </c>
      <c r="B22" s="8" t="s">
        <v>94</v>
      </c>
      <c r="C22" s="10">
        <v>1.0489999999999999</v>
      </c>
      <c r="D22" s="8" t="s">
        <v>189</v>
      </c>
      <c r="E22" s="8" t="s">
        <v>197</v>
      </c>
      <c r="F22" s="8" t="s">
        <v>175</v>
      </c>
    </row>
    <row r="23" spans="1:6" ht="25.05" customHeight="1">
      <c r="A23">
        <v>19</v>
      </c>
      <c r="B23" t="s">
        <v>96</v>
      </c>
      <c r="C23" s="10">
        <v>0.92549999999999999</v>
      </c>
      <c r="D23" t="s">
        <v>189</v>
      </c>
      <c r="E23" t="s">
        <v>198</v>
      </c>
      <c r="F23" t="s">
        <v>175</v>
      </c>
    </row>
    <row r="24" spans="1:6" ht="25.05" customHeight="1">
      <c r="A24" s="8">
        <v>20</v>
      </c>
      <c r="B24" s="8" t="s">
        <v>98</v>
      </c>
      <c r="C24" s="10">
        <v>0.85899999999999999</v>
      </c>
      <c r="D24" s="8" t="s">
        <v>179</v>
      </c>
      <c r="E24" s="8" t="s">
        <v>199</v>
      </c>
      <c r="F24" s="8" t="s">
        <v>175</v>
      </c>
    </row>
    <row r="25" spans="1:6" ht="25.05" customHeight="1">
      <c r="A25">
        <v>21</v>
      </c>
      <c r="B25" t="s">
        <v>100</v>
      </c>
      <c r="C25" s="10">
        <v>1.0295000000000001</v>
      </c>
      <c r="D25" t="s">
        <v>179</v>
      </c>
      <c r="E25" t="s">
        <v>200</v>
      </c>
      <c r="F25" t="s">
        <v>175</v>
      </c>
    </row>
    <row r="26" spans="1:6" ht="25.05" customHeight="1">
      <c r="A26" s="8">
        <v>22</v>
      </c>
      <c r="B26" s="8" t="s">
        <v>102</v>
      </c>
      <c r="C26" s="10">
        <v>0.80800000000000005</v>
      </c>
      <c r="D26" s="8" t="s">
        <v>201</v>
      </c>
      <c r="E26" s="8" t="s">
        <v>202</v>
      </c>
      <c r="F26" s="8" t="s">
        <v>175</v>
      </c>
    </row>
    <row r="27" spans="1:6" ht="25.05" customHeight="1">
      <c r="A27">
        <v>23</v>
      </c>
      <c r="B27" t="s">
        <v>104</v>
      </c>
      <c r="C27" s="10">
        <v>0.81850000000000001</v>
      </c>
      <c r="D27" t="s">
        <v>201</v>
      </c>
      <c r="E27" t="s">
        <v>203</v>
      </c>
      <c r="F27" t="s">
        <v>175</v>
      </c>
    </row>
    <row r="28" spans="1:6" ht="25.05" customHeight="1">
      <c r="A28" s="8">
        <v>24</v>
      </c>
      <c r="B28" s="8" t="s">
        <v>106</v>
      </c>
      <c r="C28" s="10">
        <v>0.86499999999999999</v>
      </c>
      <c r="D28" s="8" t="s">
        <v>179</v>
      </c>
      <c r="E28" s="8" t="s">
        <v>204</v>
      </c>
      <c r="F28" s="8" t="s">
        <v>175</v>
      </c>
    </row>
  </sheetData>
  <mergeCells count="1">
    <mergeCell ref="A1:F1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8"/>
  <sheetViews>
    <sheetView workbookViewId="0">
      <pane ySplit="4" topLeftCell="A5" activePane="bottomLeft" state="frozen"/>
      <selection pane="bottomLeft"/>
    </sheetView>
  </sheetViews>
  <sheetFormatPr defaultRowHeight="13.8"/>
  <cols>
    <col min="1" max="1" width="10" customWidth="1"/>
    <col min="2" max="2" width="16" customWidth="1"/>
    <col min="3" max="3" width="27" customWidth="1"/>
    <col min="4" max="4" width="25" customWidth="1"/>
    <col min="5" max="5" width="17" customWidth="1"/>
    <col min="6" max="6" width="26" customWidth="1"/>
    <col min="7" max="7" width="20" customWidth="1"/>
    <col min="8" max="8" width="22" customWidth="1"/>
    <col min="9" max="9" width="31" customWidth="1"/>
    <col min="10" max="10" width="16" customWidth="1"/>
  </cols>
  <sheetData>
    <row r="1" spans="1:10" ht="37.049999999999997" customHeight="1">
      <c r="A1" s="39" t="s">
        <v>205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37.049999999999997" customHeight="1">
      <c r="A2" s="40" t="s">
        <v>206</v>
      </c>
      <c r="B2" s="40"/>
      <c r="C2" s="40"/>
      <c r="D2" s="40"/>
      <c r="E2" s="40"/>
      <c r="F2" s="40"/>
      <c r="G2" s="40"/>
      <c r="H2" s="40"/>
      <c r="I2" s="40"/>
      <c r="J2" s="40"/>
    </row>
    <row r="4" spans="1:10" ht="40.049999999999997" customHeight="1">
      <c r="A4" s="30" t="s">
        <v>207</v>
      </c>
      <c r="B4" s="30" t="s">
        <v>208</v>
      </c>
      <c r="C4" s="30" t="s">
        <v>40</v>
      </c>
      <c r="D4" s="30" t="s">
        <v>209</v>
      </c>
      <c r="E4" s="30" t="s">
        <v>210</v>
      </c>
      <c r="F4" s="30" t="s">
        <v>211</v>
      </c>
      <c r="G4" s="30" t="s">
        <v>212</v>
      </c>
      <c r="H4" s="30" t="s">
        <v>213</v>
      </c>
      <c r="I4" s="30" t="s">
        <v>214</v>
      </c>
      <c r="J4" s="30" t="s">
        <v>215</v>
      </c>
    </row>
    <row r="5" spans="1:10" ht="24" customHeight="1">
      <c r="A5" t="s">
        <v>57</v>
      </c>
      <c r="B5" t="s">
        <v>216</v>
      </c>
      <c r="C5" t="str">
        <f>①24瓶主母液_纯品μL!B5</f>
        <v>异戊酸乙酯</v>
      </c>
      <c r="D5" t="s">
        <v>217</v>
      </c>
      <c r="E5" s="32">
        <f>①24瓶主母液_纯品μL!H5</f>
        <v>716</v>
      </c>
      <c r="F5" t="str">
        <f t="shared" ref="F5:F35" si="0">IF(E5&gt;1000,"P1000分次（约"&amp;ROUNDUP(E5/1000,0)&amp;"次）",IF(E5&gt;200,"P1000",IF(E5&gt;20,"P200",IF(E5&gt;10,"P20","P10"))))</f>
        <v>P1000</v>
      </c>
      <c r="G5">
        <f>①24瓶主母液_纯品μL!D5</f>
        <v>20</v>
      </c>
      <c r="H5" s="28">
        <f>①24瓶主母液_纯品μL!Q5</f>
        <v>19.283999999999999</v>
      </c>
      <c r="I5" t="str">
        <f t="shared" ref="I5:I35" si="1">IF(H5&gt;10,"先量10mL，再量"&amp;TEXT(H5-10,"0.00")&amp;"mL","一次量"&amp;TEXT(H5,"0.00")&amp;"mL")</f>
        <v>先量10mL，再量9.28mL</v>
      </c>
      <c r="J5" t="s">
        <v>218</v>
      </c>
    </row>
    <row r="6" spans="1:10" ht="24" customHeight="1">
      <c r="A6" s="31" t="s">
        <v>61</v>
      </c>
      <c r="B6" s="31" t="s">
        <v>216</v>
      </c>
      <c r="C6" s="31" t="str">
        <f>①24瓶主母液_纯品μL!B6</f>
        <v>丁酸乙酯</v>
      </c>
      <c r="D6" s="31" t="s">
        <v>217</v>
      </c>
      <c r="E6" s="32">
        <f>①24瓶主母液_纯品μL!H6</f>
        <v>1133</v>
      </c>
      <c r="F6" s="31" t="str">
        <f t="shared" si="0"/>
        <v>P1000分次（约2次）</v>
      </c>
      <c r="G6" s="31">
        <f>①24瓶主母液_纯品μL!D6</f>
        <v>20</v>
      </c>
      <c r="H6" s="28">
        <f>①24瓶主母液_纯品μL!Q6</f>
        <v>18.867000000000001</v>
      </c>
      <c r="I6" s="31" t="str">
        <f t="shared" si="1"/>
        <v>先量10mL，再量8.87mL</v>
      </c>
      <c r="J6" s="31" t="s">
        <v>218</v>
      </c>
    </row>
    <row r="7" spans="1:10" ht="24" customHeight="1">
      <c r="A7" t="s">
        <v>63</v>
      </c>
      <c r="B7" t="s">
        <v>216</v>
      </c>
      <c r="C7" t="str">
        <f>①24瓶主母液_纯品μL!B7</f>
        <v>乙酸乙酯</v>
      </c>
      <c r="D7" t="s">
        <v>217</v>
      </c>
      <c r="E7" s="32">
        <f>①24瓶主母液_纯品μL!H7</f>
        <v>6904</v>
      </c>
      <c r="F7" t="str">
        <f t="shared" si="0"/>
        <v>P1000分次（约7次）</v>
      </c>
      <c r="G7">
        <f>①24瓶主母液_纯品μL!D7</f>
        <v>20</v>
      </c>
      <c r="H7" s="28">
        <f>①24瓶主母液_纯品μL!Q7</f>
        <v>13.096</v>
      </c>
      <c r="I7" t="str">
        <f t="shared" si="1"/>
        <v>先量10mL，再量3.10mL</v>
      </c>
      <c r="J7" t="s">
        <v>218</v>
      </c>
    </row>
    <row r="8" spans="1:10" ht="24" customHeight="1">
      <c r="A8" s="31" t="s">
        <v>65</v>
      </c>
      <c r="B8" s="31" t="s">
        <v>216</v>
      </c>
      <c r="C8" s="31" t="str">
        <f>①24瓶主母液_纯品μL!B8</f>
        <v>辛酸乙酯</v>
      </c>
      <c r="D8" s="31" t="s">
        <v>217</v>
      </c>
      <c r="E8" s="32">
        <f>①24瓶主母液_纯品μL!H8</f>
        <v>286</v>
      </c>
      <c r="F8" s="31" t="str">
        <f t="shared" si="0"/>
        <v>P1000</v>
      </c>
      <c r="G8" s="31">
        <f>①24瓶主母液_纯品μL!D8</f>
        <v>20</v>
      </c>
      <c r="H8" s="28">
        <f>①24瓶主母液_纯品μL!Q8</f>
        <v>19.713999999999999</v>
      </c>
      <c r="I8" s="31" t="str">
        <f t="shared" si="1"/>
        <v>先量10mL，再量9.71mL</v>
      </c>
      <c r="J8" s="31" t="s">
        <v>218</v>
      </c>
    </row>
    <row r="9" spans="1:10" ht="24" customHeight="1">
      <c r="A9" t="s">
        <v>67</v>
      </c>
      <c r="B9" t="s">
        <v>216</v>
      </c>
      <c r="C9" t="str">
        <f>①24瓶主母液_纯品μL!B9</f>
        <v>戊酸乙酯</v>
      </c>
      <c r="D9" t="s">
        <v>217</v>
      </c>
      <c r="E9" s="32">
        <f>①24瓶主母液_纯品μL!H9</f>
        <v>473</v>
      </c>
      <c r="F9" t="str">
        <f t="shared" si="0"/>
        <v>P1000</v>
      </c>
      <c r="G9">
        <f>①24瓶主母液_纯品μL!D9</f>
        <v>20</v>
      </c>
      <c r="H9" s="28">
        <f>①24瓶主母液_纯品μL!Q9</f>
        <v>19.527000000000001</v>
      </c>
      <c r="I9" t="str">
        <f t="shared" si="1"/>
        <v>先量10mL，再量9.53mL</v>
      </c>
      <c r="J9" t="s">
        <v>218</v>
      </c>
    </row>
    <row r="10" spans="1:10" ht="24" customHeight="1">
      <c r="A10" s="31" t="s">
        <v>69</v>
      </c>
      <c r="B10" s="31" t="s">
        <v>216</v>
      </c>
      <c r="C10" s="31" t="str">
        <f>①24瓶主母液_纯品μL!B10</f>
        <v>庚酸乙酯</v>
      </c>
      <c r="D10" s="31" t="s">
        <v>217</v>
      </c>
      <c r="E10" s="32">
        <f>①24瓶主母液_纯品μL!H10</f>
        <v>403</v>
      </c>
      <c r="F10" s="31" t="str">
        <f t="shared" si="0"/>
        <v>P1000</v>
      </c>
      <c r="G10" s="31">
        <f>①24瓶主母液_纯品μL!D10</f>
        <v>20</v>
      </c>
      <c r="H10" s="28">
        <f>①24瓶主母液_纯品μL!Q10</f>
        <v>19.597000000000001</v>
      </c>
      <c r="I10" s="31" t="str">
        <f t="shared" si="1"/>
        <v>先量10mL，再量9.60mL</v>
      </c>
      <c r="J10" s="31" t="s">
        <v>218</v>
      </c>
    </row>
    <row r="11" spans="1:10" ht="24" customHeight="1">
      <c r="A11" t="s">
        <v>71</v>
      </c>
      <c r="B11" t="s">
        <v>216</v>
      </c>
      <c r="C11" t="str">
        <f>①24瓶主母液_纯品μL!B11</f>
        <v>己酸异戊酯</v>
      </c>
      <c r="D11" t="s">
        <v>217</v>
      </c>
      <c r="E11" s="32">
        <f>①24瓶主母液_纯品μL!H11</f>
        <v>48</v>
      </c>
      <c r="F11" t="str">
        <f t="shared" si="0"/>
        <v>P200</v>
      </c>
      <c r="G11">
        <f>①24瓶主母液_纯品μL!D11</f>
        <v>20</v>
      </c>
      <c r="H11" s="28">
        <f>①24瓶主母液_纯品μL!Q11</f>
        <v>19.952000000000002</v>
      </c>
      <c r="I11" t="str">
        <f t="shared" si="1"/>
        <v>先量10mL，再量9.95mL</v>
      </c>
      <c r="J11" t="s">
        <v>218</v>
      </c>
    </row>
    <row r="12" spans="1:10" ht="24" customHeight="1">
      <c r="A12" s="31" t="s">
        <v>73</v>
      </c>
      <c r="B12" s="31" t="s">
        <v>216</v>
      </c>
      <c r="C12" s="31" t="str">
        <f>①24瓶主母液_纯品μL!B12</f>
        <v>乙酸异戊酯</v>
      </c>
      <c r="D12" s="31" t="s">
        <v>217</v>
      </c>
      <c r="E12" s="32">
        <f>①24瓶主母液_纯品μL!H12</f>
        <v>945</v>
      </c>
      <c r="F12" s="31" t="str">
        <f t="shared" si="0"/>
        <v>P1000</v>
      </c>
      <c r="G12" s="31">
        <f>①24瓶主母液_纯品μL!D12</f>
        <v>20</v>
      </c>
      <c r="H12" s="28">
        <f>①24瓶主母液_纯品μL!Q12</f>
        <v>19.055</v>
      </c>
      <c r="I12" s="31" t="str">
        <f t="shared" si="1"/>
        <v>先量10mL，再量9.06mL</v>
      </c>
      <c r="J12" s="31" t="s">
        <v>218</v>
      </c>
    </row>
    <row r="13" spans="1:10" ht="24" customHeight="1">
      <c r="A13" t="s">
        <v>75</v>
      </c>
      <c r="B13" t="s">
        <v>216</v>
      </c>
      <c r="C13" t="str">
        <f>①24瓶主母液_纯品μL!B13</f>
        <v>乙醛二乙缩醛</v>
      </c>
      <c r="D13" t="s">
        <v>217</v>
      </c>
      <c r="E13" s="32">
        <f>①24瓶主母液_纯品μL!H13</f>
        <v>998</v>
      </c>
      <c r="F13" t="str">
        <f t="shared" si="0"/>
        <v>P1000</v>
      </c>
      <c r="G13">
        <f>①24瓶主母液_纯品μL!D13</f>
        <v>20</v>
      </c>
      <c r="H13" s="28">
        <f>①24瓶主母液_纯品μL!Q13</f>
        <v>19.001999999999999</v>
      </c>
      <c r="I13" t="str">
        <f t="shared" si="1"/>
        <v>先量10mL，再量9.00mL</v>
      </c>
      <c r="J13" t="s">
        <v>218</v>
      </c>
    </row>
    <row r="14" spans="1:10" ht="24" customHeight="1">
      <c r="A14" s="31" t="s">
        <v>77</v>
      </c>
      <c r="B14" s="31" t="s">
        <v>216</v>
      </c>
      <c r="C14" s="31" t="str">
        <f>①24瓶主母液_纯品μL!B14</f>
        <v>异丁酸乙酯</v>
      </c>
      <c r="D14" s="31" t="s">
        <v>217</v>
      </c>
      <c r="E14" s="32">
        <f>①24瓶主母液_纯品μL!H14</f>
        <v>238</v>
      </c>
      <c r="F14" s="31" t="str">
        <f t="shared" si="0"/>
        <v>P1000</v>
      </c>
      <c r="G14" s="31">
        <f>①24瓶主母液_纯品μL!D14</f>
        <v>20</v>
      </c>
      <c r="H14" s="28">
        <f>①24瓶主母液_纯品μL!Q14</f>
        <v>19.762</v>
      </c>
      <c r="I14" s="31" t="str">
        <f t="shared" si="1"/>
        <v>先量10mL，再量9.76mL</v>
      </c>
      <c r="J14" s="31" t="s">
        <v>218</v>
      </c>
    </row>
    <row r="15" spans="1:10" ht="24" customHeight="1">
      <c r="A15" t="s">
        <v>79</v>
      </c>
      <c r="B15" t="s">
        <v>216</v>
      </c>
      <c r="C15" t="str">
        <f>①24瓶主母液_纯品μL!B15</f>
        <v>癸酸乙酯</v>
      </c>
      <c r="D15" t="s">
        <v>217</v>
      </c>
      <c r="E15" s="32">
        <f>①24瓶主母液_纯品μL!H15</f>
        <v>95</v>
      </c>
      <c r="F15" t="str">
        <f t="shared" si="0"/>
        <v>P200</v>
      </c>
      <c r="G15">
        <f>①24瓶主母液_纯品μL!D15</f>
        <v>20</v>
      </c>
      <c r="H15" s="28">
        <f>①24瓶主母液_纯品μL!Q15</f>
        <v>19.905000000000001</v>
      </c>
      <c r="I15" t="str">
        <f t="shared" si="1"/>
        <v>先量10mL，再量9.91mL</v>
      </c>
      <c r="J15" t="s">
        <v>218</v>
      </c>
    </row>
    <row r="16" spans="1:10" ht="24" customHeight="1">
      <c r="A16" s="31" t="s">
        <v>81</v>
      </c>
      <c r="B16" s="31" t="s">
        <v>216</v>
      </c>
      <c r="C16" s="31" t="str">
        <f>①24瓶主母液_纯品μL!B16</f>
        <v>己酸</v>
      </c>
      <c r="D16" s="31" t="s">
        <v>217</v>
      </c>
      <c r="E16" s="32">
        <f>①24瓶主母液_纯品μL!H16</f>
        <v>2228</v>
      </c>
      <c r="F16" s="31" t="str">
        <f t="shared" si="0"/>
        <v>P1000分次（约3次）</v>
      </c>
      <c r="G16" s="31">
        <f>①24瓶主母液_纯品μL!D16</f>
        <v>20</v>
      </c>
      <c r="H16" s="28">
        <f>①24瓶主母液_纯品μL!Q16</f>
        <v>17.771999999999998</v>
      </c>
      <c r="I16" s="31" t="str">
        <f t="shared" si="1"/>
        <v>先量10mL，再量7.77mL</v>
      </c>
      <c r="J16" s="31" t="s">
        <v>218</v>
      </c>
    </row>
    <row r="17" spans="1:10" ht="24" customHeight="1">
      <c r="A17" t="s">
        <v>83</v>
      </c>
      <c r="B17" t="s">
        <v>216</v>
      </c>
      <c r="C17" t="str">
        <f>①24瓶主母液_纯品μL!B17</f>
        <v>异丁酸</v>
      </c>
      <c r="D17" t="s">
        <v>217</v>
      </c>
      <c r="E17" s="32">
        <f>①24瓶主母液_纯品μL!H17</f>
        <v>131</v>
      </c>
      <c r="F17" t="str">
        <f t="shared" si="0"/>
        <v>P200</v>
      </c>
      <c r="G17">
        <f>①24瓶主母液_纯品μL!D17</f>
        <v>20</v>
      </c>
      <c r="H17" s="28">
        <f>①24瓶主母液_纯品μL!Q17</f>
        <v>19.869</v>
      </c>
      <c r="I17" t="str">
        <f t="shared" si="1"/>
        <v>先量10mL，再量9.87mL</v>
      </c>
      <c r="J17" t="s">
        <v>218</v>
      </c>
    </row>
    <row r="18" spans="1:10" ht="24" customHeight="1">
      <c r="A18" s="31" t="s">
        <v>85</v>
      </c>
      <c r="B18" s="31" t="s">
        <v>216</v>
      </c>
      <c r="C18" s="31" t="str">
        <f>①24瓶主母液_纯品μL!B18</f>
        <v>戊酸</v>
      </c>
      <c r="D18" s="31" t="s">
        <v>217</v>
      </c>
      <c r="E18" s="32">
        <f>①24瓶主母液_纯品μL!H18</f>
        <v>211</v>
      </c>
      <c r="F18" s="31" t="str">
        <f t="shared" si="0"/>
        <v>P1000</v>
      </c>
      <c r="G18" s="31">
        <f>①24瓶主母液_纯品μL!D18</f>
        <v>20</v>
      </c>
      <c r="H18" s="28">
        <f>①24瓶主母液_纯品μL!Q18</f>
        <v>19.789000000000001</v>
      </c>
      <c r="I18" s="31" t="str">
        <f t="shared" si="1"/>
        <v>先量10mL，再量9.79mL</v>
      </c>
      <c r="J18" s="31" t="s">
        <v>218</v>
      </c>
    </row>
    <row r="19" spans="1:10" ht="24" customHeight="1">
      <c r="A19" t="s">
        <v>87</v>
      </c>
      <c r="B19" t="s">
        <v>216</v>
      </c>
      <c r="C19" t="str">
        <f>①24瓶主母液_纯品μL!B19</f>
        <v>辛酸</v>
      </c>
      <c r="D19" t="s">
        <v>217</v>
      </c>
      <c r="E19" s="32">
        <f>①24瓶主母液_纯品μL!H19</f>
        <v>363</v>
      </c>
      <c r="F19" t="str">
        <f t="shared" si="0"/>
        <v>P1000</v>
      </c>
      <c r="G19">
        <f>①24瓶主母液_纯品μL!D19</f>
        <v>20</v>
      </c>
      <c r="H19" s="28">
        <f>①24瓶主母液_纯品μL!Q19</f>
        <v>19.637</v>
      </c>
      <c r="I19" t="str">
        <f t="shared" si="1"/>
        <v>先量10mL，再量9.64mL</v>
      </c>
      <c r="J19" t="s">
        <v>218</v>
      </c>
    </row>
    <row r="20" spans="1:10" ht="24" customHeight="1">
      <c r="A20" s="31" t="s">
        <v>89</v>
      </c>
      <c r="B20" s="31" t="s">
        <v>216</v>
      </c>
      <c r="C20" s="31" t="str">
        <f>①24瓶主母液_纯品μL!B20</f>
        <v>庚酸</v>
      </c>
      <c r="D20" s="31" t="s">
        <v>217</v>
      </c>
      <c r="E20" s="32">
        <f>①24瓶主母液_纯品μL!H20</f>
        <v>225</v>
      </c>
      <c r="F20" s="31" t="str">
        <f t="shared" si="0"/>
        <v>P1000</v>
      </c>
      <c r="G20" s="31">
        <f>①24瓶主母液_纯品μL!D20</f>
        <v>20</v>
      </c>
      <c r="H20" s="28">
        <f>①24瓶主母液_纯品μL!Q20</f>
        <v>19.774999999999999</v>
      </c>
      <c r="I20" s="31" t="str">
        <f t="shared" si="1"/>
        <v>先量10mL，再量9.78mL</v>
      </c>
      <c r="J20" s="31" t="s">
        <v>218</v>
      </c>
    </row>
    <row r="21" spans="1:10" ht="24" customHeight="1">
      <c r="A21" t="s">
        <v>91</v>
      </c>
      <c r="B21" t="s">
        <v>216</v>
      </c>
      <c r="C21" t="str">
        <f>①24瓶主母液_纯品μL!B21</f>
        <v>丁酸</v>
      </c>
      <c r="D21" t="s">
        <v>217</v>
      </c>
      <c r="E21" s="32">
        <f>①24瓶主母液_纯品μL!H21</f>
        <v>648</v>
      </c>
      <c r="F21" t="str">
        <f t="shared" si="0"/>
        <v>P1000</v>
      </c>
      <c r="G21">
        <f>①24瓶主母液_纯品μL!D21</f>
        <v>20</v>
      </c>
      <c r="H21" s="28">
        <f>①24瓶主母液_纯品μL!Q21</f>
        <v>19.352</v>
      </c>
      <c r="I21" t="str">
        <f t="shared" si="1"/>
        <v>先量10mL，再量9.35mL</v>
      </c>
      <c r="J21" t="s">
        <v>218</v>
      </c>
    </row>
    <row r="22" spans="1:10" ht="24" customHeight="1">
      <c r="A22" s="31" t="s">
        <v>93</v>
      </c>
      <c r="B22" s="31" t="s">
        <v>216</v>
      </c>
      <c r="C22" s="31" t="str">
        <f>①24瓶主母液_纯品μL!B22</f>
        <v>乙酸</v>
      </c>
      <c r="D22" s="31" t="s">
        <v>217</v>
      </c>
      <c r="E22" s="32">
        <f>①24瓶主母液_纯品μL!H22</f>
        <v>2948</v>
      </c>
      <c r="F22" s="31" t="str">
        <f t="shared" si="0"/>
        <v>P1000分次（约3次）</v>
      </c>
      <c r="G22" s="31">
        <f>①24瓶主母液_纯品μL!D22</f>
        <v>20</v>
      </c>
      <c r="H22" s="28">
        <f>①24瓶主母液_纯品μL!Q22</f>
        <v>17.052</v>
      </c>
      <c r="I22" s="31" t="str">
        <f t="shared" si="1"/>
        <v>先量10mL，再量7.05mL</v>
      </c>
      <c r="J22" s="31" t="s">
        <v>218</v>
      </c>
    </row>
    <row r="23" spans="1:10" ht="24" customHeight="1">
      <c r="A23" t="s">
        <v>95</v>
      </c>
      <c r="B23" t="s">
        <v>216</v>
      </c>
      <c r="C23" t="str">
        <f>①24瓶主母液_纯品μL!B23</f>
        <v>异戊酸</v>
      </c>
      <c r="D23" t="s">
        <v>217</v>
      </c>
      <c r="E23" s="32">
        <f>①24瓶主母液_纯品μL!H23</f>
        <v>67</v>
      </c>
      <c r="F23" t="str">
        <f t="shared" si="0"/>
        <v>P200</v>
      </c>
      <c r="G23">
        <f>①24瓶主母液_纯品μL!D23</f>
        <v>20</v>
      </c>
      <c r="H23" s="28">
        <f>①24瓶主母液_纯品μL!Q23</f>
        <v>19.933</v>
      </c>
      <c r="I23" t="str">
        <f t="shared" si="1"/>
        <v>先量10mL，再量9.93mL</v>
      </c>
      <c r="J23" t="s">
        <v>218</v>
      </c>
    </row>
    <row r="24" spans="1:10" ht="24" customHeight="1">
      <c r="A24" s="31" t="s">
        <v>97</v>
      </c>
      <c r="B24" s="31" t="s">
        <v>216</v>
      </c>
      <c r="C24" s="31" t="str">
        <f>①24瓶主母液_纯品μL!B24</f>
        <v>己酸己酯</v>
      </c>
      <c r="D24" s="31" t="s">
        <v>217</v>
      </c>
      <c r="E24" s="32">
        <f>①24瓶主母液_纯品μL!H24</f>
        <v>216</v>
      </c>
      <c r="F24" s="31" t="str">
        <f t="shared" si="0"/>
        <v>P1000</v>
      </c>
      <c r="G24" s="31">
        <f>①24瓶主母液_纯品μL!D24</f>
        <v>20</v>
      </c>
      <c r="H24" s="28">
        <f>①24瓶主母液_纯品μL!Q24</f>
        <v>19.783999999999999</v>
      </c>
      <c r="I24" s="31" t="str">
        <f t="shared" si="1"/>
        <v>先量10mL，再量9.78mL</v>
      </c>
      <c r="J24" s="31" t="s">
        <v>218</v>
      </c>
    </row>
    <row r="25" spans="1:10" ht="24" customHeight="1">
      <c r="A25" t="s">
        <v>99</v>
      </c>
      <c r="B25" t="s">
        <v>216</v>
      </c>
      <c r="C25" t="str">
        <f>①24瓶主母液_纯品μL!B25</f>
        <v>苯乙酸乙酯</v>
      </c>
      <c r="D25" t="s">
        <v>217</v>
      </c>
      <c r="E25" s="32">
        <f>①24瓶主母液_纯品μL!H25</f>
        <v>401</v>
      </c>
      <c r="F25" t="str">
        <f t="shared" si="0"/>
        <v>P1000</v>
      </c>
      <c r="G25">
        <f>①24瓶主母液_纯品μL!D25</f>
        <v>20</v>
      </c>
      <c r="H25" s="28">
        <f>①24瓶主母液_纯品μL!Q25</f>
        <v>19.599</v>
      </c>
      <c r="I25" t="str">
        <f t="shared" si="1"/>
        <v>先量10mL，再量9.60mL</v>
      </c>
      <c r="J25" t="s">
        <v>218</v>
      </c>
    </row>
    <row r="26" spans="1:10" ht="24" customHeight="1">
      <c r="A26" s="31" t="s">
        <v>101</v>
      </c>
      <c r="B26" s="31" t="s">
        <v>216</v>
      </c>
      <c r="C26" s="31" t="str">
        <f>①24瓶主母液_纯品μL!B26</f>
        <v>1-丁醇</v>
      </c>
      <c r="D26" s="31" t="s">
        <v>217</v>
      </c>
      <c r="E26" s="32">
        <f>①24瓶主母液_纯品μL!H26</f>
        <v>1021</v>
      </c>
      <c r="F26" s="31" t="str">
        <f t="shared" si="0"/>
        <v>P1000分次（约2次）</v>
      </c>
      <c r="G26" s="31">
        <f>①24瓶主母液_纯品μL!D26</f>
        <v>20</v>
      </c>
      <c r="H26" s="28">
        <f>①24瓶主母液_纯品μL!Q26</f>
        <v>18.978999999999999</v>
      </c>
      <c r="I26" s="31" t="str">
        <f t="shared" si="1"/>
        <v>先量10mL，再量8.98mL</v>
      </c>
      <c r="J26" s="31" t="s">
        <v>218</v>
      </c>
    </row>
    <row r="27" spans="1:10" ht="24" customHeight="1">
      <c r="A27" t="s">
        <v>103</v>
      </c>
      <c r="B27" t="s">
        <v>216</v>
      </c>
      <c r="C27" t="str">
        <f>①24瓶主母液_纯品μL!B27</f>
        <v>1-己醇</v>
      </c>
      <c r="D27" t="s">
        <v>217</v>
      </c>
      <c r="E27" s="32">
        <f>①24瓶主母液_纯品μL!H27</f>
        <v>504</v>
      </c>
      <c r="F27" t="str">
        <f t="shared" si="0"/>
        <v>P1000</v>
      </c>
      <c r="G27">
        <f>①24瓶主母液_纯品μL!D27</f>
        <v>20</v>
      </c>
      <c r="H27" s="28">
        <f>①24瓶主母液_纯品μL!Q27</f>
        <v>19.495999999999999</v>
      </c>
      <c r="I27" t="str">
        <f t="shared" si="1"/>
        <v>先量10mL，再量9.50mL</v>
      </c>
      <c r="J27" t="s">
        <v>218</v>
      </c>
    </row>
    <row r="28" spans="1:10" ht="24" customHeight="1">
      <c r="A28" s="31" t="s">
        <v>105</v>
      </c>
      <c r="B28" s="31" t="s">
        <v>216</v>
      </c>
      <c r="C28" s="31" t="str">
        <f>①24瓶主母液_纯品μL!B28</f>
        <v>壬酸乙酯</v>
      </c>
      <c r="D28" s="31" t="s">
        <v>217</v>
      </c>
      <c r="E28" s="32">
        <f>①24瓶主母液_纯品μL!H28</f>
        <v>124</v>
      </c>
      <c r="F28" s="31" t="str">
        <f t="shared" si="0"/>
        <v>P200</v>
      </c>
      <c r="G28" s="31">
        <f>①24瓶主母液_纯品μL!D28</f>
        <v>20</v>
      </c>
      <c r="H28" s="28">
        <f>①24瓶主母液_纯品μL!Q28</f>
        <v>19.876000000000001</v>
      </c>
      <c r="I28" s="31" t="str">
        <f t="shared" si="1"/>
        <v>先量10mL，再量9.88mL</v>
      </c>
      <c r="J28" s="31" t="s">
        <v>218</v>
      </c>
    </row>
    <row r="29" spans="1:10" ht="24" customHeight="1">
      <c r="A29" t="s">
        <v>119</v>
      </c>
      <c r="B29" t="s">
        <v>219</v>
      </c>
      <c r="C29" t="str">
        <f>②7瓶一次稀释液!B5</f>
        <v>异戊酸乙酯</v>
      </c>
      <c r="D29" t="s">
        <v>220</v>
      </c>
      <c r="E29" s="32">
        <f>②7瓶一次稀释液!G5</f>
        <v>200</v>
      </c>
      <c r="F29" t="str">
        <f t="shared" si="0"/>
        <v>P200</v>
      </c>
      <c r="G29">
        <f>②7瓶一次稀释液!F5</f>
        <v>20</v>
      </c>
      <c r="H29" s="28">
        <f>②7瓶一次稀释液!L5</f>
        <v>19.8</v>
      </c>
      <c r="I29" t="str">
        <f t="shared" si="1"/>
        <v>先量10mL，再量9.80mL</v>
      </c>
      <c r="J29" t="s">
        <v>218</v>
      </c>
    </row>
    <row r="30" spans="1:10" ht="24" customHeight="1">
      <c r="A30" s="31" t="s">
        <v>121</v>
      </c>
      <c r="B30" s="31" t="s">
        <v>219</v>
      </c>
      <c r="C30" s="31" t="str">
        <f>②7瓶一次稀释液!B6</f>
        <v>丁酸乙酯</v>
      </c>
      <c r="D30" s="31" t="s">
        <v>220</v>
      </c>
      <c r="E30" s="32">
        <f>②7瓶一次稀释液!G6</f>
        <v>4000</v>
      </c>
      <c r="F30" s="31" t="str">
        <f t="shared" si="0"/>
        <v>P1000分次（约4次）</v>
      </c>
      <c r="G30" s="31">
        <f>②7瓶一次稀释液!F6</f>
        <v>20</v>
      </c>
      <c r="H30" s="28">
        <f>②7瓶一次稀释液!L6</f>
        <v>16</v>
      </c>
      <c r="I30" s="31" t="str">
        <f t="shared" si="1"/>
        <v>先量10mL，再量6.00mL</v>
      </c>
      <c r="J30" s="31" t="s">
        <v>218</v>
      </c>
    </row>
    <row r="31" spans="1:10" ht="24" customHeight="1">
      <c r="A31" t="s">
        <v>122</v>
      </c>
      <c r="B31" t="s">
        <v>219</v>
      </c>
      <c r="C31" t="str">
        <f>②7瓶一次稀释液!B7</f>
        <v>戊酸乙酯</v>
      </c>
      <c r="D31" t="s">
        <v>220</v>
      </c>
      <c r="E31" s="32">
        <f>②7瓶一次稀释液!G7</f>
        <v>2000</v>
      </c>
      <c r="F31" t="str">
        <f t="shared" si="0"/>
        <v>P1000分次（约2次）</v>
      </c>
      <c r="G31">
        <f>②7瓶一次稀释液!F7</f>
        <v>20</v>
      </c>
      <c r="H31" s="28">
        <f>②7瓶一次稀释液!L7</f>
        <v>18</v>
      </c>
      <c r="I31" t="str">
        <f t="shared" si="1"/>
        <v>先量10mL，再量8.00mL</v>
      </c>
      <c r="J31" t="s">
        <v>218</v>
      </c>
    </row>
    <row r="32" spans="1:10" ht="24" customHeight="1">
      <c r="A32" s="31" t="s">
        <v>123</v>
      </c>
      <c r="B32" s="31" t="s">
        <v>219</v>
      </c>
      <c r="C32" s="31" t="str">
        <f>②7瓶一次稀释液!B8</f>
        <v>乙酸异戊酯</v>
      </c>
      <c r="D32" s="31" t="s">
        <v>220</v>
      </c>
      <c r="E32" s="32">
        <f>②7瓶一次稀释液!G8</f>
        <v>1000</v>
      </c>
      <c r="F32" s="31" t="str">
        <f t="shared" si="0"/>
        <v>P1000</v>
      </c>
      <c r="G32" s="31">
        <f>②7瓶一次稀释液!F8</f>
        <v>20</v>
      </c>
      <c r="H32" s="28">
        <f>②7瓶一次稀释液!L8</f>
        <v>19</v>
      </c>
      <c r="I32" s="31" t="str">
        <f t="shared" si="1"/>
        <v>先量10mL，再量9.00mL</v>
      </c>
      <c r="J32" s="31" t="s">
        <v>218</v>
      </c>
    </row>
    <row r="33" spans="1:10" ht="24" customHeight="1">
      <c r="A33" t="s">
        <v>124</v>
      </c>
      <c r="B33" t="s">
        <v>219</v>
      </c>
      <c r="C33" t="str">
        <f>②7瓶一次稀释液!B9</f>
        <v>异丁酸乙酯</v>
      </c>
      <c r="D33" t="s">
        <v>220</v>
      </c>
      <c r="E33" s="32">
        <f>②7瓶一次稀释液!G9</f>
        <v>2000</v>
      </c>
      <c r="F33" t="str">
        <f t="shared" si="0"/>
        <v>P1000分次（约2次）</v>
      </c>
      <c r="G33">
        <f>②7瓶一次稀释液!F9</f>
        <v>20</v>
      </c>
      <c r="H33" s="28">
        <f>②7瓶一次稀释液!L9</f>
        <v>18</v>
      </c>
      <c r="I33" t="str">
        <f t="shared" si="1"/>
        <v>先量10mL，再量8.00mL</v>
      </c>
      <c r="J33" t="s">
        <v>218</v>
      </c>
    </row>
    <row r="34" spans="1:10" ht="24" customHeight="1">
      <c r="A34" s="31" t="s">
        <v>125</v>
      </c>
      <c r="B34" s="31" t="s">
        <v>219</v>
      </c>
      <c r="C34" s="31" t="str">
        <f>②7瓶一次稀释液!B10</f>
        <v>苯乙酸乙酯</v>
      </c>
      <c r="D34" s="31" t="s">
        <v>220</v>
      </c>
      <c r="E34" s="32">
        <f>②7瓶一次稀释液!G10</f>
        <v>1000</v>
      </c>
      <c r="F34" s="31" t="str">
        <f t="shared" si="0"/>
        <v>P1000</v>
      </c>
      <c r="G34" s="31">
        <f>②7瓶一次稀释液!F10</f>
        <v>20</v>
      </c>
      <c r="H34" s="28">
        <f>②7瓶一次稀释液!L10</f>
        <v>19</v>
      </c>
      <c r="I34" s="31" t="str">
        <f t="shared" si="1"/>
        <v>先量10mL，再量9.00mL</v>
      </c>
      <c r="J34" s="31" t="s">
        <v>218</v>
      </c>
    </row>
    <row r="35" spans="1:10" ht="24" customHeight="1">
      <c r="A35" t="s">
        <v>126</v>
      </c>
      <c r="B35" t="s">
        <v>219</v>
      </c>
      <c r="C35" t="str">
        <f>②7瓶一次稀释液!B11</f>
        <v>1-丁醇</v>
      </c>
      <c r="D35" t="s">
        <v>220</v>
      </c>
      <c r="E35" s="32">
        <f>②7瓶一次稀释液!G11</f>
        <v>1000</v>
      </c>
      <c r="F35" t="str">
        <f t="shared" si="0"/>
        <v>P1000</v>
      </c>
      <c r="G35">
        <f>②7瓶一次稀释液!F11</f>
        <v>20</v>
      </c>
      <c r="H35" s="28">
        <f>②7瓶一次稀释液!L11</f>
        <v>19</v>
      </c>
      <c r="I35" t="str">
        <f t="shared" si="1"/>
        <v>先量10mL，再量9.00mL</v>
      </c>
      <c r="J35" t="s">
        <v>218</v>
      </c>
    </row>
    <row r="38" spans="1:10" ht="40.950000000000003" customHeight="1">
      <c r="A38" s="40" t="s">
        <v>221</v>
      </c>
      <c r="B38" s="40"/>
      <c r="C38" s="40"/>
      <c r="D38" s="40"/>
      <c r="E38" s="40"/>
      <c r="F38" s="40"/>
      <c r="G38" s="40"/>
      <c r="H38" s="40"/>
      <c r="I38" s="40"/>
      <c r="J38" s="40"/>
    </row>
  </sheetData>
  <mergeCells count="3">
    <mergeCell ref="A1:J1"/>
    <mergeCell ref="A2:J2"/>
    <mergeCell ref="A38:J3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操作说明</vt:lpstr>
      <vt:lpstr>①24瓶主母液_纯品μL</vt:lpstr>
      <vt:lpstr>②7瓶一次稀释液</vt:lpstr>
      <vt:lpstr>③四级吸取表</vt:lpstr>
      <vt:lpstr>④53度估算</vt:lpstr>
      <vt:lpstr>⑤按级取液明细</vt:lpstr>
      <vt:lpstr>密度来源</vt:lpstr>
      <vt:lpstr>⑥20mL逐瓶配制卡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夏童</dc:creator>
  <cp:lastModifiedBy>童 夏</cp:lastModifiedBy>
  <cp:lastPrinted>2026-10-19T03:13:35Z</cp:lastPrinted>
  <dcterms:created xsi:type="dcterms:W3CDTF">2026-10-19T03:15:51Z</dcterms:created>
  <dcterms:modified xsi:type="dcterms:W3CDTF">2026-10-19T03:15:51Z</dcterms:modified>
</cp:coreProperties>
</file>