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24252\Desktop\PPT\课题\26年\26.10\英文\"/>
    </mc:Choice>
  </mc:AlternateContent>
  <xr:revisionPtr revIDLastSave="0" documentId="13_ncr:1_{4B92B287-B730-4FC0-BEB7-749A95225E59}" xr6:coauthVersionLast="47" xr6:coauthVersionMax="47" xr10:uidLastSave="{00000000-0000-0000-0000-000000000000}"/>
  <bookViews>
    <workbookView xWindow="480" yWindow="12" windowWidth="22308" windowHeight="13176" xr2:uid="{00000000-000D-0000-FFFF-FFFF00000000}"/>
  </bookViews>
  <sheets>
    <sheet name="果香" sheetId="1" r:id="rId1"/>
    <sheet name="花香" sheetId="2" r:id="rId2"/>
    <sheet name="异嗅" sheetId="3" r:id="rId3"/>
    <sheet name="训练用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4" i="1" l="1"/>
  <c r="N44" i="1"/>
  <c r="O44" i="1"/>
  <c r="P44" i="1"/>
  <c r="Q44" i="1"/>
  <c r="R44" i="1"/>
  <c r="S44" i="1"/>
  <c r="T44" i="1"/>
  <c r="U44" i="1"/>
  <c r="V44" i="1"/>
  <c r="L44" i="1"/>
  <c r="S41" i="1"/>
  <c r="P30" i="2"/>
  <c r="M30" i="2"/>
  <c r="D13" i="3"/>
  <c r="E13" i="3"/>
  <c r="F13" i="3"/>
  <c r="G13" i="3"/>
  <c r="H13" i="3"/>
  <c r="I13" i="3"/>
  <c r="J13" i="3"/>
  <c r="K13" i="3"/>
  <c r="L13" i="3"/>
  <c r="D14" i="3"/>
  <c r="E14" i="3"/>
  <c r="F14" i="3"/>
  <c r="G14" i="3"/>
  <c r="H14" i="3"/>
  <c r="I14" i="3"/>
  <c r="J14" i="3"/>
  <c r="K14" i="3"/>
  <c r="L14" i="3"/>
  <c r="D15" i="3"/>
  <c r="E15" i="3"/>
  <c r="F15" i="3"/>
  <c r="G15" i="3"/>
  <c r="H15" i="3"/>
  <c r="I15" i="3"/>
  <c r="J15" i="3"/>
  <c r="K15" i="3"/>
  <c r="L15" i="3"/>
  <c r="D16" i="3"/>
  <c r="E16" i="3"/>
  <c r="F16" i="3"/>
  <c r="G16" i="3"/>
  <c r="H16" i="3"/>
  <c r="I16" i="3"/>
  <c r="J16" i="3"/>
  <c r="K16" i="3"/>
  <c r="L16" i="3"/>
  <c r="D17" i="3"/>
  <c r="E17" i="3"/>
  <c r="F17" i="3"/>
  <c r="G17" i="3"/>
  <c r="H17" i="3"/>
  <c r="I17" i="3"/>
  <c r="J17" i="3"/>
  <c r="K17" i="3"/>
  <c r="L17" i="3"/>
  <c r="D18" i="3"/>
  <c r="E18" i="3"/>
  <c r="F18" i="3"/>
  <c r="G18" i="3"/>
  <c r="H18" i="3"/>
  <c r="I18" i="3"/>
  <c r="J18" i="3"/>
  <c r="K18" i="3"/>
  <c r="L18" i="3"/>
  <c r="D19" i="3"/>
  <c r="E19" i="3"/>
  <c r="F19" i="3"/>
  <c r="G19" i="3"/>
  <c r="H19" i="3"/>
  <c r="I19" i="3"/>
  <c r="J19" i="3"/>
  <c r="K19" i="3"/>
  <c r="L19" i="3"/>
  <c r="E12" i="3"/>
  <c r="F12" i="3"/>
  <c r="G12" i="3"/>
  <c r="H12" i="3"/>
  <c r="I12" i="3"/>
  <c r="J12" i="3"/>
  <c r="K12" i="3"/>
  <c r="L12" i="3"/>
  <c r="D12" i="3"/>
  <c r="D11" i="2"/>
  <c r="E11" i="2"/>
  <c r="F11" i="2"/>
  <c r="G11" i="2"/>
  <c r="H11" i="2"/>
  <c r="I11" i="2"/>
  <c r="J11" i="2"/>
  <c r="K11" i="2"/>
  <c r="L11" i="2"/>
  <c r="M11" i="2"/>
  <c r="D12" i="2"/>
  <c r="E12" i="2"/>
  <c r="F12" i="2"/>
  <c r="G12" i="2"/>
  <c r="H12" i="2"/>
  <c r="I12" i="2"/>
  <c r="J12" i="2"/>
  <c r="K12" i="2"/>
  <c r="L12" i="2"/>
  <c r="M12" i="2"/>
  <c r="D13" i="2"/>
  <c r="E13" i="2"/>
  <c r="F13" i="2"/>
  <c r="G13" i="2"/>
  <c r="H13" i="2"/>
  <c r="I13" i="2"/>
  <c r="J13" i="2"/>
  <c r="K13" i="2"/>
  <c r="L13" i="2"/>
  <c r="M13" i="2"/>
  <c r="D14" i="2"/>
  <c r="E14" i="2"/>
  <c r="F14" i="2"/>
  <c r="G14" i="2"/>
  <c r="H14" i="2"/>
  <c r="I14" i="2"/>
  <c r="J14" i="2"/>
  <c r="K14" i="2"/>
  <c r="L14" i="2"/>
  <c r="M14" i="2"/>
  <c r="D15" i="2"/>
  <c r="E15" i="2"/>
  <c r="F15" i="2"/>
  <c r="G15" i="2"/>
  <c r="H15" i="2"/>
  <c r="I15" i="2"/>
  <c r="J15" i="2"/>
  <c r="K15" i="2"/>
  <c r="L15" i="2"/>
  <c r="M15" i="2"/>
  <c r="E10" i="2"/>
  <c r="F10" i="2"/>
  <c r="G10" i="2"/>
  <c r="H10" i="2"/>
  <c r="I10" i="2"/>
  <c r="J10" i="2"/>
  <c r="K10" i="2"/>
  <c r="L10" i="2"/>
  <c r="M10" i="2"/>
  <c r="D10" i="2"/>
</calcChain>
</file>

<file path=xl/sharedStrings.xml><?xml version="1.0" encoding="utf-8"?>
<sst xmlns="http://schemas.openxmlformats.org/spreadsheetml/2006/main" count="451" uniqueCount="226">
  <si>
    <t>中文名称</t>
  </si>
  <si>
    <t>Unnamed: 7</t>
  </si>
  <si>
    <t>Threshold</t>
  </si>
  <si>
    <t>33 GJG-T</t>
  </si>
  <si>
    <t>29 G2(μg/L)</t>
  </si>
  <si>
    <t>14 含量 Aμg/L</t>
  </si>
  <si>
    <t>33 LZLJ-T</t>
  </si>
  <si>
    <t>27 NX9​</t>
  </si>
  <si>
    <t>27 NX2​</t>
  </si>
  <si>
    <t>27 NX5​</t>
  </si>
  <si>
    <t>27 NX8​</t>
  </si>
  <si>
    <t>33 YH-M</t>
  </si>
  <si>
    <t>水果</t>
  </si>
  <si>
    <t>丁酸乙酯</t>
  </si>
  <si>
    <t>乙酸乙酯</t>
  </si>
  <si>
    <t>辛酸乙酯</t>
  </si>
  <si>
    <t>戊酸乙酯</t>
  </si>
  <si>
    <t>苹果</t>
  </si>
  <si>
    <t>庚酸乙酯</t>
  </si>
  <si>
    <t>乙酸异戊酯</t>
  </si>
  <si>
    <t>香蕉</t>
  </si>
  <si>
    <t>乙醛二乙缩醛</t>
  </si>
  <si>
    <t>异丁酸乙酯</t>
  </si>
  <si>
    <t>28 n-s-2010</t>
  </si>
  <si>
    <t>10  1μg/L</t>
  </si>
  <si>
    <t>10  2</t>
  </si>
  <si>
    <t>10  7</t>
  </si>
  <si>
    <t>10  8</t>
  </si>
  <si>
    <t>10  6</t>
  </si>
  <si>
    <t>2 Y5（μg/L）</t>
  </si>
  <si>
    <t>2 Y3（μg/L）</t>
  </si>
  <si>
    <t>2 Y8（μg/L）</t>
  </si>
  <si>
    <t>己酸己酯</t>
  </si>
  <si>
    <t>清香</t>
  </si>
  <si>
    <t>3-苯基丙酸乙酯</t>
  </si>
  <si>
    <t>花香</t>
  </si>
  <si>
    <t>苯乙酸乙酯</t>
  </si>
  <si>
    <t>玫瑰</t>
  </si>
  <si>
    <t>1-丁醇</t>
  </si>
  <si>
    <t>1-己醇</t>
  </si>
  <si>
    <t>壬酸乙酯</t>
  </si>
  <si>
    <t>12 LZ1-1</t>
  </si>
  <si>
    <t>33 GJG-1</t>
  </si>
  <si>
    <t>17 质量浓度 B (μg/L)</t>
  </si>
  <si>
    <t>17 质量浓度 A (μg/L)</t>
  </si>
  <si>
    <t>29  G1 (μg/L)</t>
  </si>
  <si>
    <t>27 NX1​0</t>
  </si>
  <si>
    <t>己酸</t>
  </si>
  <si>
    <t>酸臭</t>
  </si>
  <si>
    <t>异丁酸</t>
  </si>
  <si>
    <t>芝士</t>
  </si>
  <si>
    <t>戊酸</t>
  </si>
  <si>
    <t>芝士、酸</t>
  </si>
  <si>
    <t>辛酸</t>
  </si>
  <si>
    <t>庚酸</t>
  </si>
  <si>
    <t>丁酸</t>
  </si>
  <si>
    <t>奶酪</t>
  </si>
  <si>
    <t>乙酸</t>
  </si>
  <si>
    <t>异戊酸/3-甲基丁酸</t>
  </si>
  <si>
    <t>汗臭</t>
  </si>
  <si>
    <t>己酸异戊脂</t>
    <phoneticPr fontId="1" type="noConversion"/>
  </si>
  <si>
    <t>异戊酸乙酯</t>
    <phoneticPr fontId="1" type="noConversion"/>
  </si>
  <si>
    <t>辛酸乙酯</t>
    <phoneticPr fontId="1" type="noConversion"/>
  </si>
  <si>
    <t>庚酸乙酯</t>
    <phoneticPr fontId="1" type="noConversion"/>
  </si>
  <si>
    <t>异丁酸乙酯</t>
    <phoneticPr fontId="1" type="noConversion"/>
  </si>
  <si>
    <t>癸酸乙酯</t>
    <phoneticPr fontId="1" type="noConversion"/>
  </si>
  <si>
    <t>戊酸乙酯</t>
    <phoneticPr fontId="1" type="noConversion"/>
  </si>
  <si>
    <t>乙酸异戊酯</t>
    <phoneticPr fontId="1" type="noConversion"/>
  </si>
  <si>
    <t>己酸异戊酯</t>
    <phoneticPr fontId="1" type="noConversion"/>
  </si>
  <si>
    <t>丁酸乙酯</t>
    <phoneticPr fontId="1" type="noConversion"/>
  </si>
  <si>
    <t>乙缩醛</t>
    <phoneticPr fontId="1" type="noConversion"/>
  </si>
  <si>
    <t>特征化合物组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</si>
  <si>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</si>
  <si>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</si>
  <si>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</si>
  <si>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</si>
  <si>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乙酸乙酯</t>
    <phoneticPr fontId="1" type="noConversion"/>
  </si>
  <si>
    <t>苯乙酸乙酯</t>
    <phoneticPr fontId="1" type="noConversion"/>
  </si>
  <si>
    <t>1-丁醇</t>
    <phoneticPr fontId="1" type="noConversion"/>
  </si>
  <si>
    <t>1-己醇</t>
    <phoneticPr fontId="1" type="noConversion"/>
  </si>
  <si>
    <t>壬酸乙酯</t>
    <phoneticPr fontId="1" type="noConversion"/>
  </si>
  <si>
    <t>戊酸</t>
    <phoneticPr fontId="1" type="noConversion"/>
  </si>
  <si>
    <t>乙酸</t>
    <phoneticPr fontId="1" type="noConversion"/>
  </si>
  <si>
    <t>异丁酸</t>
    <phoneticPr fontId="1" type="noConversion"/>
  </si>
  <si>
    <t>异戊酸</t>
    <phoneticPr fontId="1" type="noConversion"/>
  </si>
  <si>
    <t>庚酸</t>
    <phoneticPr fontId="1" type="noConversion"/>
  </si>
  <si>
    <t>丁酸</t>
    <phoneticPr fontId="1" type="noConversion"/>
  </si>
  <si>
    <t>辛酸</t>
    <phoneticPr fontId="1" type="noConversion"/>
  </si>
  <si>
    <t>97-64-3</t>
  </si>
  <si>
    <t>Ethyl lactate</t>
    <phoneticPr fontId="4" type="noConversion"/>
  </si>
  <si>
    <t>乳酸乙酯</t>
    <phoneticPr fontId="4" type="noConversion"/>
  </si>
  <si>
    <t>CC(C(=O)OCC)O</t>
  </si>
  <si>
    <t>626-82-4</t>
  </si>
  <si>
    <t>Butyl hexanoate</t>
    <phoneticPr fontId="4" type="noConversion"/>
  </si>
  <si>
    <t>己酸丁酯</t>
    <phoneticPr fontId="4" type="noConversion"/>
  </si>
  <si>
    <t>CCCCCC(=O)OCCCC</t>
    <phoneticPr fontId="4" type="noConversion"/>
  </si>
  <si>
    <t>628-97-7</t>
  </si>
  <si>
    <t>Ethyl palmitate</t>
    <phoneticPr fontId="4" type="noConversion"/>
  </si>
  <si>
    <t>棕榈酸乙酯</t>
  </si>
  <si>
    <t>CCCCCCCCCCCCCCCC(=O)OCC</t>
    <phoneticPr fontId="4" type="noConversion"/>
  </si>
  <si>
    <t>106-27-4</t>
  </si>
  <si>
    <t>Isoamyl butyrate</t>
    <phoneticPr fontId="4" type="noConversion"/>
  </si>
  <si>
    <t>丁酸异戊酯</t>
    <phoneticPr fontId="4" type="noConversion"/>
  </si>
  <si>
    <t>CCCC(=O)OCCC(C)C</t>
  </si>
  <si>
    <t>123-51-3</t>
  </si>
  <si>
    <t>3-Methyl-1-butanol</t>
    <phoneticPr fontId="4" type="noConversion"/>
  </si>
  <si>
    <t>3-甲基-1-丁醇（异戊醇）</t>
    <phoneticPr fontId="4" type="noConversion"/>
  </si>
  <si>
    <t>CC(C)CCO</t>
    <phoneticPr fontId="4" type="noConversion"/>
  </si>
  <si>
    <t>111-87-5</t>
  </si>
  <si>
    <t>1-octanol</t>
    <phoneticPr fontId="4" type="noConversion"/>
  </si>
  <si>
    <t>1-辛醇</t>
    <phoneticPr fontId="4" type="noConversion"/>
  </si>
  <si>
    <t>CCCCCCCCO</t>
    <phoneticPr fontId="4" type="noConversion"/>
  </si>
  <si>
    <t>71-23-8</t>
  </si>
  <si>
    <t>1-propanol</t>
    <phoneticPr fontId="4" type="noConversion"/>
  </si>
  <si>
    <t>1-丙醇</t>
  </si>
  <si>
    <t>CCCO</t>
    <phoneticPr fontId="4" type="noConversion"/>
  </si>
  <si>
    <t>590-86-3</t>
  </si>
  <si>
    <t>Isovaleraldehyde</t>
    <phoneticPr fontId="4" type="noConversion"/>
  </si>
  <si>
    <t>异戊醛</t>
    <phoneticPr fontId="4" type="noConversion"/>
  </si>
  <si>
    <t>CC(C)CC=O</t>
    <phoneticPr fontId="4" type="noConversion"/>
  </si>
  <si>
    <t>142-92-7</t>
  </si>
  <si>
    <t>Hexyl acetate</t>
    <phoneticPr fontId="4" type="noConversion"/>
  </si>
  <si>
    <t>乙酸己酯</t>
    <phoneticPr fontId="4" type="noConversion"/>
  </si>
  <si>
    <t>CCCCCCOC(=O)C</t>
    <phoneticPr fontId="4" type="noConversion"/>
  </si>
  <si>
    <t>Order ID</t>
    <phoneticPr fontId="4" type="noConversion"/>
  </si>
  <si>
    <t>CAS</t>
    <phoneticPr fontId="4" type="noConversion"/>
  </si>
  <si>
    <t>Odorants</t>
    <phoneticPr fontId="4" type="noConversion"/>
  </si>
  <si>
    <t>中文名称</t>
    <phoneticPr fontId="4" type="noConversion"/>
  </si>
  <si>
    <t>SMILES</t>
  </si>
  <si>
    <r>
      <t>Threshold</t>
    </r>
    <r>
      <rPr>
        <sz val="12"/>
        <color theme="1"/>
        <rFont val="等线"/>
        <family val="1"/>
        <charset val="134"/>
      </rPr>
      <t>（</t>
    </r>
    <r>
      <rPr>
        <sz val="12"/>
        <color theme="1"/>
        <rFont val="Times New Roman"/>
        <family val="1"/>
      </rPr>
      <t>μg/L</t>
    </r>
    <r>
      <rPr>
        <sz val="12"/>
        <color theme="1"/>
        <rFont val="等线"/>
        <family val="1"/>
        <charset val="134"/>
      </rPr>
      <t>）</t>
    </r>
    <phoneticPr fontId="4" type="noConversion"/>
  </si>
  <si>
    <t>基底选择</t>
    <phoneticPr fontId="1" type="noConversion"/>
  </si>
  <si>
    <t>搜集文献中位值</t>
    <phoneticPr fontId="1" type="noConversion"/>
  </si>
  <si>
    <t>Flavor</t>
    <phoneticPr fontId="1" type="noConversion"/>
  </si>
  <si>
    <t>化合物名称</t>
    <phoneticPr fontId="1" type="noConversion"/>
  </si>
  <si>
    <t>34 A</t>
    <phoneticPr fontId="1" type="noConversion"/>
  </si>
  <si>
    <t>29 G2</t>
    <phoneticPr fontId="1" type="noConversion"/>
  </si>
  <si>
    <t>14 A</t>
    <phoneticPr fontId="1" type="noConversion"/>
  </si>
  <si>
    <t>最大值</t>
    <phoneticPr fontId="1" type="noConversion"/>
  </si>
  <si>
    <t>中位值</t>
    <phoneticPr fontId="1" type="noConversion"/>
  </si>
  <si>
    <t>150 ～ 900 ppb</t>
  </si>
  <si>
    <t>2400 ～ 15000 ppb</t>
  </si>
  <si>
    <t>500000 ～ 1750000 ppb</t>
  </si>
  <si>
    <t>3600 ～ 18000 ppb</t>
  </si>
  <si>
    <t>750 ～ 3750 ppb</t>
  </si>
  <si>
    <t>500 ～ 2400 ppb</t>
  </si>
  <si>
    <t>2700 ～ 13500 ppb</t>
  </si>
  <si>
    <t>24000 ～ 96000 ppb</t>
  </si>
  <si>
    <t>300 ～ 1750 ppb</t>
  </si>
  <si>
    <t>7500 ～ 25000 ppb</t>
  </si>
  <si>
    <t>10000 ～ 33000ppb</t>
    <phoneticPr fontId="1" type="noConversion"/>
  </si>
  <si>
    <t>2400-12000</t>
    <phoneticPr fontId="1" type="noConversion"/>
  </si>
  <si>
    <t>320-1600</t>
    <phoneticPr fontId="1" type="noConversion"/>
  </si>
  <si>
    <t>1250-6250</t>
    <phoneticPr fontId="1" type="noConversion"/>
  </si>
  <si>
    <t>120000-480000</t>
    <phoneticPr fontId="1" type="noConversion"/>
  </si>
  <si>
    <t>16000-64000</t>
    <phoneticPr fontId="1" type="noConversion"/>
  </si>
  <si>
    <t>2200-11000</t>
    <phoneticPr fontId="1" type="noConversion"/>
  </si>
  <si>
    <t>3000 ～ 22500</t>
    <phoneticPr fontId="1" type="noConversion"/>
  </si>
  <si>
    <t>6000 ～ 30000</t>
    <phoneticPr fontId="1" type="noConversion"/>
  </si>
  <si>
    <t>7500 ～ 45000</t>
  </si>
  <si>
    <t>15000 ～ 110000</t>
  </si>
  <si>
    <t>320000 ～ 1200000</t>
  </si>
  <si>
    <t>1800 ～ 12000</t>
  </si>
  <si>
    <t>50000 ～ 600000</t>
    <phoneticPr fontId="1" type="noConversion"/>
  </si>
  <si>
    <t>10000 ～ 36000</t>
    <phoneticPr fontId="1" type="noConversion"/>
  </si>
  <si>
    <t>适宜绝对浓度(典型香气浓度区间)</t>
    <phoneticPr fontId="1" type="noConversion"/>
  </si>
  <si>
    <t>描述词构建</t>
    <phoneticPr fontId="1" type="noConversion"/>
  </si>
  <si>
    <t>菠萝</t>
    <phoneticPr fontId="1" type="noConversion"/>
  </si>
  <si>
    <t>苹果</t>
    <phoneticPr fontId="1" type="noConversion"/>
  </si>
  <si>
    <t>醇香</t>
  </si>
  <si>
    <t>曲香</t>
  </si>
  <si>
    <t>高粱香</t>
  </si>
  <si>
    <t>花蜜香</t>
    <phoneticPr fontId="1" type="noConversion"/>
  </si>
  <si>
    <t>蘑菇</t>
    <phoneticPr fontId="1" type="noConversion"/>
  </si>
  <si>
    <t>酸臭\马厩</t>
  </si>
  <si>
    <t>青草</t>
  </si>
  <si>
    <t>泥土</t>
  </si>
  <si>
    <t>皮革</t>
    <phoneticPr fontId="1" type="noConversion"/>
  </si>
  <si>
    <t>辣</t>
  </si>
  <si>
    <t>甜</t>
  </si>
  <si>
    <t>酸</t>
  </si>
  <si>
    <t>苦</t>
  </si>
  <si>
    <t>涩</t>
  </si>
  <si>
    <t>清爽</t>
  </si>
  <si>
    <t>柔和</t>
  </si>
  <si>
    <t>四甲基吡嗪</t>
    <phoneticPr fontId="1" type="noConversion"/>
  </si>
  <si>
    <t>乙偶姻</t>
    <phoneticPr fontId="1" type="noConversion"/>
  </si>
  <si>
    <t>1-辛烯-3-醇</t>
    <phoneticPr fontId="1" type="noConversion"/>
  </si>
  <si>
    <t>微量乙酸乙酯</t>
  </si>
  <si>
    <t>单宁酸</t>
  </si>
  <si>
    <t>0.5~1g/L</t>
    <phoneticPr fontId="1" type="noConversion"/>
  </si>
  <si>
    <t>咖啡因</t>
    <phoneticPr fontId="1" type="noConversion"/>
  </si>
  <si>
    <t>0.15~0.2g/L</t>
    <phoneticPr fontId="1" type="noConversion"/>
  </si>
  <si>
    <t>柠檬酸</t>
  </si>
  <si>
    <t>0.5~0.8g/L</t>
    <phoneticPr fontId="1" type="noConversion"/>
  </si>
  <si>
    <t>蔗糖</t>
    <phoneticPr fontId="1" type="noConversion"/>
  </si>
  <si>
    <t>2~5g/L</t>
    <phoneticPr fontId="1" type="noConversion"/>
  </si>
  <si>
    <t>食用酒精</t>
    <phoneticPr fontId="1" type="noConversion"/>
  </si>
  <si>
    <t>55~66%</t>
    <phoneticPr fontId="1" type="noConversion"/>
  </si>
  <si>
    <t>52%食用乙醇+</t>
    <phoneticPr fontId="1" type="noConversion"/>
  </si>
  <si>
    <t>老酒基样</t>
    <phoneticPr fontId="1" type="noConversion"/>
  </si>
  <si>
    <t>2g/L甘油+0.8g/L乳酸乙酯</t>
    <phoneticPr fontId="1" type="noConversion"/>
  </si>
  <si>
    <t xml:space="preserve">  </t>
    <phoneticPr fontId="1" type="noConversion"/>
  </si>
  <si>
    <t>15.0 ~ 25.0 mg/L</t>
  </si>
  <si>
    <t>己酸乙酯</t>
    <phoneticPr fontId="1" type="noConversion"/>
  </si>
  <si>
    <t>50-100mg/L</t>
    <phoneticPr fontId="1" type="noConversion"/>
  </si>
  <si>
    <t>异戊醇</t>
    <phoneticPr fontId="1" type="noConversion"/>
  </si>
  <si>
    <t>80-120mg/L</t>
    <phoneticPr fontId="1" type="noConversion"/>
  </si>
  <si>
    <t>3-5mg/L</t>
    <phoneticPr fontId="1" type="noConversion"/>
  </si>
  <si>
    <t>20-30mg/L</t>
    <phoneticPr fontId="1" type="noConversion"/>
  </si>
  <si>
    <t>1-2mg/L</t>
    <phoneticPr fontId="1" type="noConversion"/>
  </si>
  <si>
    <t>0.05-0.1mg/L</t>
    <phoneticPr fontId="1" type="noConversion"/>
  </si>
  <si>
    <t>0.5-1mg/L</t>
    <phoneticPr fontId="1" type="noConversion"/>
  </si>
  <si>
    <t>己醛</t>
    <phoneticPr fontId="1" type="noConversion"/>
  </si>
  <si>
    <t>0.1-0.3mg/L</t>
    <phoneticPr fontId="1" type="noConversion"/>
  </si>
  <si>
    <t>0.2-0.5mg/L</t>
    <phoneticPr fontId="1" type="noConversion"/>
  </si>
  <si>
    <t>4-乙基愈创木酚</t>
    <phoneticPr fontId="1" type="noConversion"/>
  </si>
  <si>
    <t>酒鼻子</t>
    <phoneticPr fontId="1" type="noConversion"/>
  </si>
  <si>
    <t>OAV</t>
    <phoneticPr fontId="1" type="noConversion"/>
  </si>
  <si>
    <t>OAV</t>
    <phoneticPr fontId="1" type="noConversion"/>
  </si>
  <si>
    <t>0.2g/L</t>
    <phoneticPr fontId="1" type="noConversion"/>
  </si>
  <si>
    <t>6g/L</t>
    <phoneticPr fontId="1" type="noConversion"/>
  </si>
  <si>
    <t>甜味</t>
    <phoneticPr fontId="1" type="noConversion"/>
  </si>
  <si>
    <t>全</t>
    <phoneticPr fontId="1" type="noConversion"/>
  </si>
  <si>
    <t>重构浓度（μg/L）</t>
    <phoneticPr fontId="1" type="noConversion"/>
  </si>
  <si>
    <t>μg/L</t>
    <phoneticPr fontId="1" type="noConversion"/>
  </si>
  <si>
    <t>20ml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</si>
</sst>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等线"/>
      <family val="1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宋体"/>
      <family val="3"/>
      <charset val="134"/>
    </font>
    <font>
      <sz val="11"/>
      <color rgb="FFFF0000"/>
      <name val="Times New Roman"/>
      <family val="1"/>
    </font>
    <font>
      <sz val="11"/>
      <color rgb="FFFF0000"/>
      <name val="宋体"/>
      <family val="3"/>
      <charset val="134"/>
    </font>
    <font>
      <sz val="10"/>
      <color rgb="FF0F1115"/>
      <name val="Segoe UI"/>
      <family val="2"/>
    </font>
    <font>
      <sz val="12"/>
      <color rgb="FFFF0000"/>
      <name val="Times New Roman"/>
      <family val="1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76" fontId="0" fillId="0" borderId="0" xfId="0" applyNumberFormat="1"/>
    <xf numFmtId="0" fontId="9" fillId="0" borderId="0" xfId="0" applyFont="1"/>
    <xf numFmtId="0" fontId="10" fillId="0" borderId="0" xfId="0" applyFont="1"/>
    <xf numFmtId="176" fontId="9" fillId="0" borderId="0" xfId="0" applyNumberFormat="1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 wrapText="1" indent="1"/>
    </xf>
    <xf numFmtId="0" fontId="14" fillId="0" borderId="0" xfId="0" applyFont="1"/>
    <xf numFmtId="0" fontId="1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V60"/>
  <sheetViews>
    <sheetView tabSelected="1" topLeftCell="G11" workbookViewId="0">
      <selection activeCell="N44" sqref="N44"/>
    </sheetView>
  </sheetViews>
  <sheetFormatPr defaultRowHeight="13.8" x14ac:dyDescent="0.25"/>
  <cols>
    <col min="1" max="1" width="13" bestFit="1" customWidth="1"/>
    <col min="4" max="11" width="9" customWidth="1"/>
    <col min="12" max="12" width="11.6640625" bestFit="1" customWidth="1"/>
    <col min="13" max="13" width="9" customWidth="1"/>
    <col min="18" max="18" width="13.44140625" customWidth="1"/>
    <col min="19" max="19" width="11.6640625" bestFit="1" customWidth="1"/>
    <col min="20" max="20" width="13.88671875" bestFit="1" customWidth="1"/>
    <col min="21" max="21" width="11.6640625" bestFit="1" customWidth="1"/>
  </cols>
  <sheetData>
    <row r="2" spans="1:27" x14ac:dyDescent="0.25">
      <c r="A2" t="s">
        <v>133</v>
      </c>
      <c r="B2" t="s">
        <v>132</v>
      </c>
      <c r="C2" s="1" t="s">
        <v>2</v>
      </c>
      <c r="D2" s="1" t="s">
        <v>134</v>
      </c>
      <c r="E2" t="s">
        <v>3</v>
      </c>
      <c r="F2" t="s">
        <v>135</v>
      </c>
      <c r="G2" t="s">
        <v>136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137</v>
      </c>
      <c r="P2" t="s">
        <v>138</v>
      </c>
      <c r="R2" t="s">
        <v>164</v>
      </c>
      <c r="V2" s="1"/>
    </row>
    <row r="3" spans="1:27" ht="15" customHeight="1" x14ac:dyDescent="0.25">
      <c r="A3" t="s">
        <v>61</v>
      </c>
      <c r="B3" t="s">
        <v>12</v>
      </c>
      <c r="C3" s="1">
        <v>6.89</v>
      </c>
      <c r="D3" s="1">
        <v>0</v>
      </c>
      <c r="E3" s="1">
        <v>8760.15</v>
      </c>
      <c r="F3" s="1">
        <v>0</v>
      </c>
      <c r="G3" s="1">
        <v>0</v>
      </c>
      <c r="H3" s="1">
        <v>8294.76</v>
      </c>
      <c r="I3" s="1">
        <v>0</v>
      </c>
      <c r="J3" s="1">
        <v>0</v>
      </c>
      <c r="K3" s="1">
        <v>0</v>
      </c>
      <c r="L3" s="1">
        <v>0</v>
      </c>
      <c r="M3" s="1">
        <v>8443.7800000000007</v>
      </c>
      <c r="O3" s="2">
        <v>176050</v>
      </c>
      <c r="P3" s="2">
        <v>1795.3</v>
      </c>
      <c r="R3" t="s">
        <v>139</v>
      </c>
      <c r="S3" s="1"/>
      <c r="V3" s="1"/>
      <c r="W3" s="1"/>
      <c r="X3" s="1"/>
      <c r="Y3" s="1"/>
      <c r="Z3" s="1"/>
      <c r="AA3" s="1"/>
    </row>
    <row r="4" spans="1:27" x14ac:dyDescent="0.25">
      <c r="A4" t="s">
        <v>13</v>
      </c>
      <c r="B4" t="s">
        <v>12</v>
      </c>
      <c r="C4" s="1">
        <v>81.5</v>
      </c>
      <c r="D4" s="1">
        <v>702350</v>
      </c>
      <c r="E4" s="1">
        <v>124602.53</v>
      </c>
      <c r="F4" s="1">
        <v>344600</v>
      </c>
      <c r="G4" s="1">
        <v>422260</v>
      </c>
      <c r="H4" s="1">
        <v>124696.01</v>
      </c>
      <c r="I4" s="1">
        <v>206300</v>
      </c>
      <c r="J4" s="1">
        <v>447400</v>
      </c>
      <c r="K4" s="1">
        <v>136400</v>
      </c>
      <c r="L4" s="1">
        <v>185900</v>
      </c>
      <c r="M4" s="1">
        <v>154500.72</v>
      </c>
      <c r="O4" s="2">
        <v>940000</v>
      </c>
      <c r="P4" s="2">
        <v>63221.4</v>
      </c>
      <c r="R4" t="s">
        <v>140</v>
      </c>
      <c r="S4" s="1"/>
      <c r="V4" s="1"/>
      <c r="W4" s="1"/>
      <c r="X4" s="1"/>
      <c r="Y4" s="1"/>
      <c r="Z4" s="1"/>
      <c r="AA4" s="1"/>
    </row>
    <row r="5" spans="1:27" x14ac:dyDescent="0.25">
      <c r="A5" t="s">
        <v>14</v>
      </c>
      <c r="B5" t="s">
        <v>12</v>
      </c>
      <c r="C5" s="1">
        <v>32551.599999999999</v>
      </c>
      <c r="D5" s="1">
        <v>1752070</v>
      </c>
      <c r="E5" s="1">
        <v>1549578.56</v>
      </c>
      <c r="F5" s="1">
        <v>987700</v>
      </c>
      <c r="G5" s="1">
        <v>1111860</v>
      </c>
      <c r="H5" s="1">
        <v>1258679.1100000001</v>
      </c>
      <c r="I5" s="1">
        <v>1589700</v>
      </c>
      <c r="J5" s="1">
        <v>1843000</v>
      </c>
      <c r="K5" s="1">
        <v>2811900</v>
      </c>
      <c r="L5" s="1">
        <v>604600</v>
      </c>
      <c r="M5" s="1">
        <v>1242562.1100000001</v>
      </c>
      <c r="O5" s="2">
        <v>4661800</v>
      </c>
      <c r="P5" s="2">
        <v>588550</v>
      </c>
      <c r="R5" t="s">
        <v>141</v>
      </c>
      <c r="S5" s="1"/>
      <c r="V5" s="1"/>
      <c r="W5" s="1"/>
      <c r="X5" s="1"/>
      <c r="Y5" s="1"/>
      <c r="Z5" s="1"/>
      <c r="AA5" s="1"/>
    </row>
    <row r="6" spans="1:27" ht="15" customHeight="1" x14ac:dyDescent="0.25">
      <c r="A6" t="s">
        <v>15</v>
      </c>
      <c r="B6" t="s">
        <v>12</v>
      </c>
      <c r="C6" s="1">
        <v>12.87</v>
      </c>
      <c r="D6" s="1">
        <v>81610</v>
      </c>
      <c r="E6" s="1">
        <v>17434.84</v>
      </c>
      <c r="F6" s="1">
        <v>13300</v>
      </c>
      <c r="G6" s="1">
        <v>19160</v>
      </c>
      <c r="H6" s="1">
        <v>143277.07999999999</v>
      </c>
      <c r="I6" s="1">
        <v>8600</v>
      </c>
      <c r="J6" s="1">
        <v>7200</v>
      </c>
      <c r="K6" s="1">
        <v>22600</v>
      </c>
      <c r="L6" s="1">
        <v>13300</v>
      </c>
      <c r="M6" s="1">
        <v>163326.38</v>
      </c>
      <c r="O6" s="2">
        <v>247040</v>
      </c>
      <c r="P6" s="2">
        <v>3544.08</v>
      </c>
      <c r="R6" t="s">
        <v>142</v>
      </c>
      <c r="S6" s="1"/>
      <c r="V6" s="1"/>
      <c r="W6" s="1"/>
      <c r="X6" s="1"/>
      <c r="Y6" s="1"/>
      <c r="Z6" s="1"/>
      <c r="AA6" s="1"/>
    </row>
    <row r="7" spans="1:27" x14ac:dyDescent="0.25">
      <c r="A7" s="8" t="s">
        <v>16</v>
      </c>
      <c r="B7" t="s">
        <v>17</v>
      </c>
      <c r="C7" s="1">
        <v>26.78</v>
      </c>
      <c r="D7" s="1">
        <v>236260</v>
      </c>
      <c r="E7" s="1">
        <v>14584.470000000001</v>
      </c>
      <c r="F7" s="1">
        <v>70400</v>
      </c>
      <c r="G7" s="1">
        <v>306210</v>
      </c>
      <c r="H7" s="1">
        <v>9485.14</v>
      </c>
      <c r="I7" s="1">
        <v>35900</v>
      </c>
      <c r="J7" s="1">
        <v>28999.999999999996</v>
      </c>
      <c r="K7" s="1">
        <v>72900</v>
      </c>
      <c r="L7" s="1">
        <v>30500</v>
      </c>
      <c r="M7" s="1">
        <v>8477.43</v>
      </c>
      <c r="O7" s="2">
        <v>376550</v>
      </c>
      <c r="P7" s="2">
        <v>12189.9</v>
      </c>
      <c r="R7" t="s">
        <v>143</v>
      </c>
      <c r="S7" s="1"/>
      <c r="V7" s="1"/>
      <c r="W7" s="1"/>
      <c r="X7" s="1"/>
      <c r="Y7" s="1"/>
      <c r="Z7" s="1"/>
      <c r="AA7" s="1"/>
    </row>
    <row r="8" spans="1:27" x14ac:dyDescent="0.25">
      <c r="A8" s="9" t="s">
        <v>18</v>
      </c>
      <c r="B8" t="s">
        <v>12</v>
      </c>
      <c r="C8" s="1">
        <v>13153.17</v>
      </c>
      <c r="D8" s="1">
        <v>25780</v>
      </c>
      <c r="E8" s="1">
        <v>59359.34</v>
      </c>
      <c r="F8" s="1">
        <v>22600</v>
      </c>
      <c r="G8" s="1">
        <v>9300</v>
      </c>
      <c r="H8" s="1">
        <v>38033.410000000003</v>
      </c>
      <c r="I8" s="1">
        <v>13200</v>
      </c>
      <c r="J8" s="1">
        <v>12700</v>
      </c>
      <c r="K8" s="1">
        <v>26800</v>
      </c>
      <c r="L8" s="1">
        <v>13500</v>
      </c>
      <c r="M8" s="1">
        <v>32073.169999999995</v>
      </c>
      <c r="O8" s="2">
        <v>348671</v>
      </c>
      <c r="P8" s="2">
        <v>11735.060649999999</v>
      </c>
      <c r="R8" t="s">
        <v>149</v>
      </c>
      <c r="S8" s="1"/>
      <c r="V8" s="1"/>
      <c r="W8" s="1"/>
      <c r="X8" s="1"/>
      <c r="Y8" s="1"/>
      <c r="Z8" s="1"/>
      <c r="AA8" s="1"/>
    </row>
    <row r="9" spans="1:27" ht="15" customHeight="1" x14ac:dyDescent="0.25">
      <c r="A9" s="9" t="s">
        <v>60</v>
      </c>
      <c r="B9" t="s">
        <v>12</v>
      </c>
      <c r="C9" s="1">
        <v>1400</v>
      </c>
      <c r="D9" s="1">
        <v>47.147285714285708</v>
      </c>
      <c r="E9" s="1">
        <v>4.1428585714285706</v>
      </c>
      <c r="F9" s="1">
        <v>0</v>
      </c>
      <c r="G9" s="1">
        <v>0</v>
      </c>
      <c r="H9" s="1">
        <v>6.0822459285714281</v>
      </c>
      <c r="I9" s="1">
        <v>0</v>
      </c>
      <c r="J9" s="1">
        <v>0</v>
      </c>
      <c r="K9" s="1">
        <v>0</v>
      </c>
      <c r="L9" s="1">
        <v>0</v>
      </c>
      <c r="M9" s="1">
        <v>7.5806240714285709</v>
      </c>
      <c r="O9" s="2">
        <v>57280</v>
      </c>
      <c r="P9" s="2">
        <v>2122.585</v>
      </c>
      <c r="R9" t="s">
        <v>144</v>
      </c>
      <c r="S9" s="1"/>
      <c r="V9" s="1"/>
      <c r="W9" s="1"/>
      <c r="X9" s="1"/>
      <c r="Y9" s="1"/>
      <c r="Z9" s="1"/>
      <c r="AA9" s="1"/>
    </row>
    <row r="10" spans="1:27" x14ac:dyDescent="0.25">
      <c r="A10" t="s">
        <v>19</v>
      </c>
      <c r="B10" t="s">
        <v>20</v>
      </c>
      <c r="C10" s="1">
        <v>93.93</v>
      </c>
      <c r="D10" s="1">
        <v>0</v>
      </c>
      <c r="E10" s="1">
        <v>1704.47</v>
      </c>
      <c r="F10" s="1">
        <v>32499.999999999996</v>
      </c>
      <c r="G10" s="1">
        <v>480980</v>
      </c>
      <c r="H10" s="1">
        <v>546.82000000000005</v>
      </c>
      <c r="I10" s="1">
        <v>6600.0000000000009</v>
      </c>
      <c r="J10" s="1">
        <v>6200</v>
      </c>
      <c r="K10" s="1">
        <v>300</v>
      </c>
      <c r="L10" s="1">
        <v>5300</v>
      </c>
      <c r="M10" s="1">
        <v>244.19999999999996</v>
      </c>
      <c r="O10" s="2">
        <v>480980</v>
      </c>
      <c r="P10" s="2">
        <v>1282.1099999999999</v>
      </c>
      <c r="R10" t="s">
        <v>145</v>
      </c>
      <c r="S10" s="1"/>
      <c r="V10" s="1"/>
      <c r="W10" s="1"/>
      <c r="X10" s="1"/>
      <c r="Y10" s="1"/>
      <c r="Z10" s="1"/>
      <c r="AA10" s="1"/>
    </row>
    <row r="11" spans="1:27" x14ac:dyDescent="0.25">
      <c r="A11" t="s">
        <v>21</v>
      </c>
      <c r="B11" t="s">
        <v>12</v>
      </c>
      <c r="C11" s="1">
        <v>2090</v>
      </c>
      <c r="D11" s="1">
        <v>661890</v>
      </c>
      <c r="E11" s="1">
        <v>173561.17</v>
      </c>
      <c r="F11" s="1">
        <v>157700</v>
      </c>
      <c r="G11" s="1">
        <v>149240</v>
      </c>
      <c r="H11" s="1">
        <v>164008.07999999999</v>
      </c>
      <c r="I11" s="1">
        <v>205200</v>
      </c>
      <c r="J11" s="1">
        <v>784300</v>
      </c>
      <c r="K11" s="1">
        <v>118500</v>
      </c>
      <c r="L11" s="1">
        <v>127500</v>
      </c>
      <c r="M11" s="1">
        <v>158545.47</v>
      </c>
      <c r="O11" s="2">
        <v>784300</v>
      </c>
      <c r="P11" s="2">
        <v>89806.6</v>
      </c>
      <c r="R11" t="s">
        <v>146</v>
      </c>
      <c r="S11" s="1"/>
      <c r="V11" s="1"/>
      <c r="W11" s="1"/>
      <c r="X11" s="1"/>
      <c r="Y11" s="1"/>
      <c r="Z11" s="1"/>
      <c r="AA11" s="1"/>
    </row>
    <row r="12" spans="1:27" ht="15" customHeight="1" x14ac:dyDescent="0.25">
      <c r="A12" t="s">
        <v>22</v>
      </c>
      <c r="B12" t="s">
        <v>12</v>
      </c>
      <c r="C12" s="1">
        <v>57.47</v>
      </c>
      <c r="D12" s="1">
        <v>0</v>
      </c>
      <c r="E12" s="1">
        <v>5023.68</v>
      </c>
      <c r="F12" s="1">
        <v>2800</v>
      </c>
      <c r="G12" s="1">
        <v>0</v>
      </c>
      <c r="H12" s="1">
        <v>3898.8300000000004</v>
      </c>
      <c r="I12" s="1">
        <v>1900</v>
      </c>
      <c r="J12" s="1">
        <v>4400</v>
      </c>
      <c r="K12" s="1">
        <v>2500</v>
      </c>
      <c r="L12" s="1">
        <v>2000</v>
      </c>
      <c r="M12" s="1">
        <v>4061.5500000000006</v>
      </c>
      <c r="O12" s="2">
        <v>193560</v>
      </c>
      <c r="P12" s="2">
        <v>4971</v>
      </c>
      <c r="R12" t="s">
        <v>147</v>
      </c>
      <c r="S12" s="1"/>
      <c r="V12" s="1"/>
      <c r="W12" s="1"/>
      <c r="X12" s="1"/>
      <c r="Y12" s="1"/>
      <c r="Z12" s="1"/>
      <c r="AA12" s="1"/>
    </row>
    <row r="13" spans="1:27" x14ac:dyDescent="0.25">
      <c r="A13" s="8" t="s">
        <v>65</v>
      </c>
      <c r="B13" t="s">
        <v>12</v>
      </c>
      <c r="C13" s="1">
        <v>1120.3</v>
      </c>
      <c r="D13" s="1">
        <v>530</v>
      </c>
      <c r="E13" s="1">
        <v>522.99</v>
      </c>
      <c r="F13" s="1">
        <v>3400</v>
      </c>
      <c r="G13" s="1">
        <v>2440</v>
      </c>
      <c r="H13" s="1">
        <v>131.08000000000001</v>
      </c>
      <c r="I13" s="1">
        <v>0</v>
      </c>
      <c r="J13" s="1">
        <v>0</v>
      </c>
      <c r="K13" s="1">
        <v>0</v>
      </c>
      <c r="L13" s="1">
        <v>0</v>
      </c>
      <c r="M13" s="1">
        <v>496.97</v>
      </c>
      <c r="O13" s="2">
        <v>56115</v>
      </c>
      <c r="P13" s="2">
        <v>2116.9499999999998</v>
      </c>
      <c r="R13" t="s">
        <v>148</v>
      </c>
      <c r="S13" s="1"/>
      <c r="V13" s="1"/>
      <c r="W13" s="1"/>
      <c r="X13" s="1"/>
      <c r="Y13" s="1"/>
      <c r="Z13" s="1"/>
      <c r="AA13" s="1"/>
    </row>
    <row r="14" spans="1:27" ht="15" customHeight="1" x14ac:dyDescent="0.25">
      <c r="R14" s="2"/>
    </row>
    <row r="15" spans="1:27" ht="14.25" hidden="1" customHeight="1" x14ac:dyDescent="0.25">
      <c r="A15" t="s">
        <v>217</v>
      </c>
      <c r="R15" s="2"/>
    </row>
    <row r="16" spans="1:27" ht="14.25" hidden="1" customHeight="1" x14ac:dyDescent="0.25">
      <c r="A16" t="s">
        <v>61</v>
      </c>
      <c r="B16" t="s">
        <v>12</v>
      </c>
      <c r="C16" s="1">
        <v>6.89</v>
      </c>
      <c r="D16" s="7">
        <v>0</v>
      </c>
      <c r="E16" s="7">
        <v>1271.4296081277214</v>
      </c>
      <c r="F16" s="7">
        <v>0</v>
      </c>
      <c r="G16" s="7">
        <v>0</v>
      </c>
      <c r="H16" s="7">
        <v>1203.8838896952104</v>
      </c>
      <c r="I16" s="7">
        <v>0</v>
      </c>
      <c r="J16" s="7">
        <v>0</v>
      </c>
      <c r="K16" s="7">
        <v>0</v>
      </c>
      <c r="L16" s="7">
        <v>0</v>
      </c>
      <c r="M16" s="7">
        <v>1225.5123367198839</v>
      </c>
      <c r="R16" s="2"/>
    </row>
    <row r="17" spans="1:204" ht="15" hidden="1" customHeight="1" x14ac:dyDescent="0.25">
      <c r="A17" t="s">
        <v>13</v>
      </c>
      <c r="B17" t="s">
        <v>12</v>
      </c>
      <c r="C17" s="1">
        <v>81.5</v>
      </c>
      <c r="D17" s="7">
        <v>8617.7914110429447</v>
      </c>
      <c r="E17" s="7">
        <v>1528.8653987730061</v>
      </c>
      <c r="F17" s="7">
        <v>4228.2208588957055</v>
      </c>
      <c r="G17" s="7">
        <v>5181.1042944785277</v>
      </c>
      <c r="H17" s="7">
        <v>1530.0123926380368</v>
      </c>
      <c r="I17" s="7">
        <v>2531.2883435582821</v>
      </c>
      <c r="J17" s="7">
        <v>5489.5705521472391</v>
      </c>
      <c r="K17" s="7">
        <v>1673.6196319018404</v>
      </c>
      <c r="L17" s="7">
        <v>2280.9815950920247</v>
      </c>
      <c r="M17" s="7">
        <v>1895.714355828221</v>
      </c>
      <c r="R17" s="2"/>
    </row>
    <row r="18" spans="1:204" ht="14.25" hidden="1" customHeight="1" x14ac:dyDescent="0.25">
      <c r="A18" t="s">
        <v>14</v>
      </c>
      <c r="B18" t="s">
        <v>12</v>
      </c>
      <c r="C18" s="1">
        <v>32551.599999999999</v>
      </c>
      <c r="D18" s="7">
        <v>53.824389584536554</v>
      </c>
      <c r="E18" s="7">
        <v>47.603760183831213</v>
      </c>
      <c r="F18" s="7">
        <v>30.342594526843534</v>
      </c>
      <c r="G18" s="7">
        <v>34.156846360854765</v>
      </c>
      <c r="H18" s="7">
        <v>38.667196389731998</v>
      </c>
      <c r="I18" s="7">
        <v>48.836309121517836</v>
      </c>
      <c r="J18" s="7">
        <v>56.617800661104219</v>
      </c>
      <c r="K18" s="7">
        <v>86.382850612565903</v>
      </c>
      <c r="L18" s="7">
        <v>18.573587780631367</v>
      </c>
      <c r="M18" s="7">
        <v>38.172074798166605</v>
      </c>
      <c r="R18" s="2"/>
    </row>
    <row r="19" spans="1:204" ht="14.25" hidden="1" customHeight="1" x14ac:dyDescent="0.25">
      <c r="A19" t="s">
        <v>15</v>
      </c>
      <c r="B19" t="s">
        <v>12</v>
      </c>
      <c r="C19" s="1">
        <v>12.87</v>
      </c>
      <c r="D19" s="7">
        <v>6341.1033411033413</v>
      </c>
      <c r="E19" s="7">
        <v>1354.6884226884229</v>
      </c>
      <c r="F19" s="7">
        <v>1033.4110334110335</v>
      </c>
      <c r="G19" s="7">
        <v>1488.7334887334889</v>
      </c>
      <c r="H19" s="7">
        <v>11132.640248640248</v>
      </c>
      <c r="I19" s="7">
        <v>668.22066822066824</v>
      </c>
      <c r="J19" s="7">
        <v>559.44055944055947</v>
      </c>
      <c r="K19" s="7">
        <v>1756.0217560217561</v>
      </c>
      <c r="L19" s="7">
        <v>1033.4110334110335</v>
      </c>
      <c r="M19" s="7">
        <v>12690.472416472418</v>
      </c>
      <c r="R19" s="2"/>
    </row>
    <row r="20" spans="1:204" ht="15" hidden="1" customHeight="1" x14ac:dyDescent="0.25">
      <c r="A20" s="1" t="s">
        <v>16</v>
      </c>
      <c r="B20" t="s">
        <v>17</v>
      </c>
      <c r="C20" s="1">
        <v>26.78</v>
      </c>
      <c r="D20" s="7">
        <v>8822.2554144884234</v>
      </c>
      <c r="E20" s="7">
        <v>544.60306198655712</v>
      </c>
      <c r="F20" s="7">
        <v>2628.827483196415</v>
      </c>
      <c r="G20" s="7">
        <v>11434.279312920089</v>
      </c>
      <c r="H20" s="7">
        <v>354.18745332337562</v>
      </c>
      <c r="I20" s="7">
        <v>1340.5526512322629</v>
      </c>
      <c r="J20" s="7">
        <v>1082.8976848394323</v>
      </c>
      <c r="K20" s="7">
        <v>2722.1807318894698</v>
      </c>
      <c r="L20" s="7">
        <v>1138.9096340552651</v>
      </c>
      <c r="M20" s="7">
        <v>316.55825242718447</v>
      </c>
      <c r="R20" s="2"/>
    </row>
    <row r="21" spans="1:204" ht="14.25" hidden="1" customHeight="1" x14ac:dyDescent="0.25">
      <c r="A21" s="9" t="s">
        <v>18</v>
      </c>
      <c r="B21" t="s">
        <v>12</v>
      </c>
      <c r="C21" s="1">
        <v>13153.17</v>
      </c>
      <c r="D21" s="10">
        <v>1.9599837909796649</v>
      </c>
      <c r="E21" s="10">
        <v>4.5129303430275742</v>
      </c>
      <c r="F21" s="10">
        <v>1.7182169773522276</v>
      </c>
      <c r="G21" s="10">
        <v>0.70705388891042997</v>
      </c>
      <c r="H21" s="10">
        <v>2.8915774676370796</v>
      </c>
      <c r="I21" s="10">
        <v>1.0035603584535135</v>
      </c>
      <c r="J21" s="10">
        <v>0.96554670851209257</v>
      </c>
      <c r="K21" s="10">
        <v>2.0375316368601637</v>
      </c>
      <c r="L21" s="10">
        <v>1.026368548418366</v>
      </c>
      <c r="M21" s="10">
        <v>2.438436513783369</v>
      </c>
      <c r="Q21" s="2"/>
      <c r="R21" s="2"/>
      <c r="S21" s="2"/>
      <c r="T21" s="2"/>
      <c r="U21" s="2"/>
    </row>
    <row r="22" spans="1:204" ht="14.25" hidden="1" customHeight="1" x14ac:dyDescent="0.25">
      <c r="A22" s="9" t="s">
        <v>60</v>
      </c>
      <c r="B22" t="s">
        <v>12</v>
      </c>
      <c r="C22" s="1">
        <v>1400</v>
      </c>
      <c r="D22" s="10">
        <v>3.3676632653061221E-2</v>
      </c>
      <c r="E22" s="10">
        <v>2.9591846938775506E-3</v>
      </c>
      <c r="F22" s="10">
        <v>0</v>
      </c>
      <c r="G22" s="10">
        <v>0</v>
      </c>
      <c r="H22" s="10">
        <v>4.3444613775510199E-3</v>
      </c>
      <c r="I22" s="10">
        <v>0</v>
      </c>
      <c r="J22" s="10">
        <v>0</v>
      </c>
      <c r="K22" s="10">
        <v>0</v>
      </c>
      <c r="L22" s="10">
        <v>0</v>
      </c>
      <c r="M22" s="10">
        <v>5.4147314795918366E-3</v>
      </c>
      <c r="Q22" s="2"/>
      <c r="R22" s="2"/>
      <c r="S22" s="2"/>
      <c r="T22" s="2"/>
      <c r="U22" s="2"/>
    </row>
    <row r="23" spans="1:204" hidden="1" x14ac:dyDescent="0.25">
      <c r="A23" s="8" t="s">
        <v>19</v>
      </c>
      <c r="B23" t="s">
        <v>20</v>
      </c>
      <c r="C23" s="1">
        <v>93.93</v>
      </c>
      <c r="D23" s="10">
        <v>0</v>
      </c>
      <c r="E23" s="10">
        <v>18.146172681784307</v>
      </c>
      <c r="F23" s="10">
        <v>346.0023421697008</v>
      </c>
      <c r="G23" s="10">
        <v>5120.6217395933136</v>
      </c>
      <c r="H23" s="10">
        <v>5.8215692536995638</v>
      </c>
      <c r="I23" s="10">
        <v>70.265091025231555</v>
      </c>
      <c r="J23" s="10">
        <v>66.006600660065999</v>
      </c>
      <c r="K23" s="10">
        <v>3.1938677738741612</v>
      </c>
      <c r="L23" s="10">
        <v>56.424997338443518</v>
      </c>
      <c r="M23" s="10">
        <v>2.5998083679335671</v>
      </c>
      <c r="Q23" s="2"/>
      <c r="R23" s="2"/>
      <c r="S23" s="2"/>
      <c r="T23" s="2"/>
      <c r="U23" s="2"/>
    </row>
    <row r="24" spans="1:204" hidden="1" x14ac:dyDescent="0.25">
      <c r="A24" t="s">
        <v>21</v>
      </c>
      <c r="B24" t="s">
        <v>12</v>
      </c>
      <c r="C24" s="1">
        <v>2090</v>
      </c>
      <c r="D24" s="7">
        <v>316.69377990430621</v>
      </c>
      <c r="E24" s="7">
        <v>83.04362200956939</v>
      </c>
      <c r="F24" s="7">
        <v>75.454545454545453</v>
      </c>
      <c r="G24" s="7">
        <v>71.406698564593299</v>
      </c>
      <c r="H24" s="7">
        <v>78.472765550239231</v>
      </c>
      <c r="I24" s="7">
        <v>98.181818181818187</v>
      </c>
      <c r="J24" s="7">
        <v>375.26315789473682</v>
      </c>
      <c r="K24" s="7">
        <v>56.698564593301434</v>
      </c>
      <c r="L24" s="7">
        <v>61.004784688995215</v>
      </c>
      <c r="M24" s="7">
        <v>75.859076555023918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4"/>
      <c r="BB24" s="4"/>
      <c r="BC24" s="4"/>
      <c r="BD24" s="4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4"/>
      <c r="GS24" s="2"/>
      <c r="GT24" s="2"/>
      <c r="GU24" s="2"/>
      <c r="GV24" s="2"/>
    </row>
    <row r="25" spans="1:204" hidden="1" x14ac:dyDescent="0.25">
      <c r="A25" t="s">
        <v>22</v>
      </c>
      <c r="B25" t="s">
        <v>12</v>
      </c>
      <c r="C25" s="1">
        <v>57.47</v>
      </c>
      <c r="D25" s="7">
        <v>0</v>
      </c>
      <c r="E25" s="7">
        <v>87.413955107012356</v>
      </c>
      <c r="F25" s="7">
        <v>48.721071863581003</v>
      </c>
      <c r="G25" s="7">
        <v>0</v>
      </c>
      <c r="H25" s="7">
        <v>67.841134504959115</v>
      </c>
      <c r="I25" s="7">
        <v>33.060727336001392</v>
      </c>
      <c r="J25" s="7">
        <v>76.561684357055853</v>
      </c>
      <c r="K25" s="7">
        <v>43.500957021054461</v>
      </c>
      <c r="L25" s="7">
        <v>34.80076561684357</v>
      </c>
      <c r="M25" s="7">
        <v>70.672524795545513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4"/>
      <c r="BB25" s="4"/>
      <c r="BC25" s="4"/>
      <c r="BD25" s="4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4"/>
      <c r="GS25" s="2"/>
      <c r="GT25" s="2"/>
      <c r="GU25" s="2"/>
      <c r="GV25" s="2"/>
    </row>
    <row r="26" spans="1:204" hidden="1" x14ac:dyDescent="0.25">
      <c r="A26" s="8" t="s">
        <v>65</v>
      </c>
      <c r="B26" t="s">
        <v>12</v>
      </c>
      <c r="C26" s="1">
        <v>1120.3</v>
      </c>
      <c r="D26" s="10">
        <v>0.47308756583058109</v>
      </c>
      <c r="E26" s="10">
        <v>0.46683031330893515</v>
      </c>
      <c r="F26" s="10">
        <v>3.0349013657056148</v>
      </c>
      <c r="G26" s="10">
        <v>2.177988038918147</v>
      </c>
      <c r="H26" s="10">
        <v>0.11700437382843883</v>
      </c>
      <c r="I26" s="10">
        <v>0</v>
      </c>
      <c r="J26" s="10">
        <v>0</v>
      </c>
      <c r="K26" s="10">
        <v>0</v>
      </c>
      <c r="L26" s="10">
        <v>0</v>
      </c>
      <c r="M26" s="10">
        <v>0.44360439168079985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4"/>
      <c r="GS26" s="2"/>
      <c r="GT26" s="2"/>
      <c r="GU26" s="2"/>
      <c r="GV26" s="2"/>
    </row>
    <row r="27" spans="1:204" ht="15.75" customHeight="1" x14ac:dyDescent="0.25"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4"/>
      <c r="GS27" s="2"/>
      <c r="GT27" s="2"/>
      <c r="GU27" s="2"/>
      <c r="GV27" s="2"/>
    </row>
    <row r="28" spans="1:204" x14ac:dyDescent="0.25"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4"/>
      <c r="BB28" s="4"/>
      <c r="BC28" s="4"/>
      <c r="BD28" s="4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4"/>
      <c r="GS28" s="2"/>
      <c r="GT28" s="2"/>
      <c r="GU28" s="2"/>
      <c r="GV28" s="2"/>
    </row>
    <row r="29" spans="1:204" x14ac:dyDescent="0.25">
      <c r="A29" t="s">
        <v>71</v>
      </c>
      <c r="K29" t="s">
        <v>201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4"/>
      <c r="GS29" s="2"/>
      <c r="GT29" s="2"/>
      <c r="GU29" s="2"/>
      <c r="GV29" s="2"/>
    </row>
    <row r="30" spans="1:204" ht="15.75" customHeight="1" x14ac:dyDescent="0.25">
      <c r="A30" t="s">
        <v>72</v>
      </c>
      <c r="B30" t="s">
        <v>62</v>
      </c>
      <c r="C30" t="s">
        <v>63</v>
      </c>
      <c r="D30" t="s">
        <v>64</v>
      </c>
      <c r="F30" t="s">
        <v>222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4"/>
      <c r="BB30" s="4"/>
      <c r="BC30" s="4"/>
      <c r="BD30" s="4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4"/>
      <c r="GS30" s="2"/>
      <c r="GT30" s="2"/>
      <c r="GU30" s="2"/>
      <c r="GV30" s="2"/>
    </row>
    <row r="31" spans="1:204" x14ac:dyDescent="0.25">
      <c r="A31" t="s">
        <v>73</v>
      </c>
      <c r="B31" s="8" t="s">
        <v>65</v>
      </c>
      <c r="C31" t="s">
        <v>66</v>
      </c>
      <c r="D31" t="s">
        <v>67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4"/>
      <c r="GS31" s="2"/>
      <c r="GT31" s="2"/>
      <c r="GU31" s="2"/>
      <c r="GV31" s="2"/>
    </row>
    <row r="32" spans="1:204" x14ac:dyDescent="0.25">
      <c r="A32" t="s">
        <v>74</v>
      </c>
      <c r="B32" t="s">
        <v>68</v>
      </c>
      <c r="C32" t="s">
        <v>69</v>
      </c>
      <c r="D32" t="s">
        <v>70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4"/>
      <c r="GS32" s="2"/>
      <c r="GT32" s="2"/>
      <c r="GU32" s="2"/>
      <c r="GV32" s="2"/>
    </row>
    <row r="33" spans="1:22" ht="14.25" customHeight="1" x14ac:dyDescent="0.25">
      <c r="A33" t="s">
        <v>75</v>
      </c>
      <c r="B33" s="8" t="s">
        <v>65</v>
      </c>
      <c r="C33" t="s">
        <v>76</v>
      </c>
      <c r="D33" t="s">
        <v>69</v>
      </c>
      <c r="E33" t="s">
        <v>70</v>
      </c>
      <c r="L33" s="1"/>
      <c r="M33" s="1"/>
      <c r="N33" s="1"/>
      <c r="Q33" s="2"/>
      <c r="R33" s="2"/>
      <c r="S33" s="2"/>
      <c r="T33" s="2"/>
      <c r="U33" s="2"/>
    </row>
    <row r="34" spans="1:22" ht="15" customHeight="1" x14ac:dyDescent="0.25">
      <c r="L34" s="1"/>
      <c r="M34" s="1"/>
      <c r="N34" s="1"/>
      <c r="Q34" s="2"/>
      <c r="R34" s="2"/>
      <c r="S34" s="2"/>
      <c r="T34" s="2"/>
      <c r="U34" s="2"/>
    </row>
    <row r="35" spans="1:22" ht="15.75" customHeight="1" x14ac:dyDescent="0.25">
      <c r="L35" s="1"/>
      <c r="M35" s="1"/>
      <c r="N35" s="1"/>
      <c r="Q35" s="2"/>
      <c r="R35" s="2"/>
      <c r="S35" s="2"/>
      <c r="T35" s="2"/>
      <c r="U35" s="2"/>
    </row>
    <row r="36" spans="1:22" ht="14.25" customHeight="1" x14ac:dyDescent="0.25">
      <c r="A36" t="s">
        <v>130</v>
      </c>
      <c r="L36" s="1"/>
      <c r="M36" s="1"/>
      <c r="N36" s="1"/>
      <c r="Q36" s="2"/>
      <c r="R36" s="2"/>
      <c r="S36" s="2"/>
      <c r="T36" s="2"/>
      <c r="U36" s="2"/>
    </row>
    <row r="37" spans="1:22" ht="15" customHeight="1" x14ac:dyDescent="0.3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H37" t="s">
        <v>131</v>
      </c>
      <c r="K37" t="s">
        <v>223</v>
      </c>
      <c r="L37" t="s">
        <v>61</v>
      </c>
      <c r="M37" t="s">
        <v>13</v>
      </c>
      <c r="N37" t="s">
        <v>14</v>
      </c>
      <c r="O37" t="s">
        <v>15</v>
      </c>
      <c r="P37" s="18" t="s">
        <v>16</v>
      </c>
      <c r="Q37" s="18" t="s">
        <v>18</v>
      </c>
      <c r="R37" s="18" t="s">
        <v>60</v>
      </c>
      <c r="S37" t="s">
        <v>19</v>
      </c>
      <c r="T37" t="s">
        <v>21</v>
      </c>
      <c r="U37" t="s">
        <v>22</v>
      </c>
      <c r="V37" s="8" t="s">
        <v>65</v>
      </c>
    </row>
    <row r="38" spans="1:22" ht="15.75" customHeight="1" x14ac:dyDescent="0.25">
      <c r="A38">
        <v>8</v>
      </c>
      <c r="B38" t="s">
        <v>88</v>
      </c>
      <c r="C38" t="s">
        <v>89</v>
      </c>
      <c r="D38" t="s">
        <v>90</v>
      </c>
      <c r="E38" t="s">
        <v>91</v>
      </c>
      <c r="F38">
        <v>14100</v>
      </c>
      <c r="H38">
        <v>462875</v>
      </c>
      <c r="L38" s="1">
        <v>176050</v>
      </c>
      <c r="M38" s="1">
        <v>940000</v>
      </c>
      <c r="N38" s="1">
        <v>4661800</v>
      </c>
      <c r="O38" s="1">
        <v>247040</v>
      </c>
      <c r="P38" s="1">
        <v>376550</v>
      </c>
      <c r="Q38" s="1">
        <v>348671</v>
      </c>
      <c r="R38" s="1">
        <v>57280</v>
      </c>
      <c r="S38" s="1">
        <v>480980</v>
      </c>
      <c r="T38" s="1">
        <v>784300</v>
      </c>
      <c r="U38" s="1">
        <v>193560</v>
      </c>
      <c r="V38" s="1">
        <v>56115</v>
      </c>
    </row>
    <row r="39" spans="1:22" ht="14.25" customHeight="1" x14ac:dyDescent="0.25">
      <c r="A39">
        <v>15</v>
      </c>
      <c r="B39" t="s">
        <v>92</v>
      </c>
      <c r="C39" t="s">
        <v>93</v>
      </c>
      <c r="D39" t="s">
        <v>94</v>
      </c>
      <c r="E39" t="s">
        <v>95</v>
      </c>
      <c r="F39">
        <v>540</v>
      </c>
      <c r="H39">
        <v>478.2</v>
      </c>
      <c r="L39" s="1">
        <v>1795</v>
      </c>
      <c r="M39" s="1">
        <v>63221</v>
      </c>
      <c r="N39" s="1">
        <v>1750000</v>
      </c>
      <c r="O39" s="1">
        <v>18000</v>
      </c>
      <c r="P39" s="1">
        <v>12190</v>
      </c>
      <c r="Q39" s="1">
        <v>33000</v>
      </c>
      <c r="R39" s="1">
        <v>2400</v>
      </c>
      <c r="S39" s="1">
        <v>13500</v>
      </c>
      <c r="T39" s="1">
        <v>89806</v>
      </c>
      <c r="U39" s="1">
        <v>4971</v>
      </c>
      <c r="V39" s="1">
        <v>25000</v>
      </c>
    </row>
    <row r="40" spans="1:22" ht="15" customHeight="1" x14ac:dyDescent="0.25">
      <c r="A40">
        <v>19</v>
      </c>
      <c r="B40" t="s">
        <v>96</v>
      </c>
      <c r="C40" t="s">
        <v>97</v>
      </c>
      <c r="D40" t="s">
        <v>98</v>
      </c>
      <c r="E40" t="s">
        <v>99</v>
      </c>
      <c r="F40">
        <v>2000</v>
      </c>
      <c r="H40">
        <v>846.7</v>
      </c>
      <c r="L40" s="1">
        <v>900</v>
      </c>
      <c r="M40" s="1">
        <v>15000</v>
      </c>
      <c r="N40" s="1">
        <v>588550</v>
      </c>
      <c r="O40" s="1">
        <v>3600</v>
      </c>
      <c r="P40" s="1">
        <v>3750</v>
      </c>
      <c r="Q40" s="1">
        <v>11735</v>
      </c>
      <c r="R40" s="1">
        <v>500</v>
      </c>
      <c r="S40" s="1">
        <v>2700</v>
      </c>
      <c r="T40" s="1">
        <v>24000</v>
      </c>
      <c r="U40" s="1">
        <v>1750</v>
      </c>
      <c r="V40" s="1">
        <v>7500</v>
      </c>
    </row>
    <row r="41" spans="1:22" ht="14.25" customHeight="1" x14ac:dyDescent="0.25">
      <c r="A41">
        <v>20</v>
      </c>
      <c r="B41" t="s">
        <v>100</v>
      </c>
      <c r="C41" t="s">
        <v>101</v>
      </c>
      <c r="D41" t="s">
        <v>102</v>
      </c>
      <c r="E41" t="s">
        <v>103</v>
      </c>
      <c r="F41">
        <v>250</v>
      </c>
      <c r="H41">
        <v>215.8</v>
      </c>
      <c r="L41" s="1">
        <v>150</v>
      </c>
      <c r="M41" s="1">
        <v>2400</v>
      </c>
      <c r="N41" s="1">
        <v>400000</v>
      </c>
      <c r="P41" s="1">
        <v>750</v>
      </c>
      <c r="Q41" s="1">
        <v>8000</v>
      </c>
      <c r="S41">
        <f>1025</f>
        <v>1025</v>
      </c>
      <c r="U41" s="1">
        <v>300</v>
      </c>
      <c r="V41" s="1">
        <v>2117</v>
      </c>
    </row>
    <row r="42" spans="1:22" ht="14.25" customHeight="1" x14ac:dyDescent="0.25">
      <c r="A42">
        <v>23</v>
      </c>
      <c r="B42" t="s">
        <v>104</v>
      </c>
      <c r="C42" t="s">
        <v>105</v>
      </c>
      <c r="D42" t="s">
        <v>106</v>
      </c>
      <c r="E42" t="s">
        <v>107</v>
      </c>
      <c r="F42">
        <v>54000</v>
      </c>
      <c r="H42">
        <v>142834</v>
      </c>
      <c r="L42" s="1"/>
      <c r="M42" s="1"/>
      <c r="N42" s="1"/>
    </row>
    <row r="43" spans="1:22" ht="15" customHeight="1" x14ac:dyDescent="0.25">
      <c r="A43">
        <v>25</v>
      </c>
      <c r="B43" t="s">
        <v>108</v>
      </c>
      <c r="C43" t="s">
        <v>109</v>
      </c>
      <c r="D43" t="s">
        <v>110</v>
      </c>
      <c r="E43" t="s">
        <v>111</v>
      </c>
      <c r="F43">
        <v>950</v>
      </c>
      <c r="H43">
        <v>361.45</v>
      </c>
      <c r="L43" s="1"/>
      <c r="M43" s="1"/>
      <c r="N43" s="1"/>
    </row>
    <row r="44" spans="1:22" ht="14.25" customHeight="1" x14ac:dyDescent="0.25">
      <c r="A44">
        <v>26</v>
      </c>
      <c r="B44" t="s">
        <v>112</v>
      </c>
      <c r="C44" t="s">
        <v>113</v>
      </c>
      <c r="D44" t="s">
        <v>114</v>
      </c>
      <c r="E44" t="s">
        <v>115</v>
      </c>
      <c r="F44">
        <v>500000</v>
      </c>
      <c r="H44">
        <v>37246</v>
      </c>
      <c r="K44" t="s">
        <v>224</v>
      </c>
      <c r="L44" s="1">
        <f>L38*16</f>
        <v>2816800</v>
      </c>
      <c r="M44" s="1">
        <f t="shared" ref="M44:V44" si="0">M38*16</f>
        <v>15040000</v>
      </c>
      <c r="N44" s="1">
        <f t="shared" si="0"/>
        <v>74588800</v>
      </c>
      <c r="O44" s="1">
        <f t="shared" si="0"/>
        <v>3952640</v>
      </c>
      <c r="P44" s="1">
        <f t="shared" si="0"/>
        <v>6024800</v>
      </c>
      <c r="Q44" s="1">
        <f t="shared" si="0"/>
        <v>5578736</v>
      </c>
      <c r="R44" s="1">
        <f t="shared" si="0"/>
        <v>916480</v>
      </c>
      <c r="S44" s="1">
        <f t="shared" si="0"/>
        <v>7695680</v>
      </c>
      <c r="T44" s="1">
        <f t="shared" si="0"/>
        <v>12548800</v>
      </c>
      <c r="U44" s="1">
        <f t="shared" si="0"/>
        <v>3096960</v>
      </c>
      <c r="V44" s="1">
        <f t="shared" si="0"/>
        <v>897840</v>
      </c>
    </row>
    <row r="45" spans="1:22" ht="14.25" customHeight="1" x14ac:dyDescent="0.25">
      <c r="A45">
        <v>57</v>
      </c>
      <c r="B45" t="s">
        <v>116</v>
      </c>
      <c r="C45" t="s">
        <v>117</v>
      </c>
      <c r="D45" t="s">
        <v>118</v>
      </c>
      <c r="E45" t="s">
        <v>119</v>
      </c>
      <c r="F45">
        <v>4.7</v>
      </c>
      <c r="H45">
        <v>5.1749999999999998</v>
      </c>
      <c r="K45" t="s">
        <v>225</v>
      </c>
      <c r="L45" s="1"/>
      <c r="M45" s="1"/>
      <c r="N45" s="1"/>
    </row>
    <row r="46" spans="1:22" ht="15" customHeight="1" x14ac:dyDescent="0.25">
      <c r="A46">
        <v>60</v>
      </c>
      <c r="B46" t="s">
        <v>120</v>
      </c>
      <c r="C46" t="s">
        <v>121</v>
      </c>
      <c r="D46" t="s">
        <v>122</v>
      </c>
      <c r="E46" t="s">
        <v>123</v>
      </c>
      <c r="F46">
        <v>670</v>
      </c>
      <c r="H46">
        <v>179.75</v>
      </c>
      <c r="L46" s="1"/>
      <c r="M46" s="1"/>
      <c r="N46" s="1"/>
    </row>
    <row r="47" spans="1:22" ht="14.25" customHeight="1" x14ac:dyDescent="0.25">
      <c r="L47" s="1"/>
      <c r="M47" s="1"/>
      <c r="N47" s="1"/>
    </row>
    <row r="48" spans="1:22" ht="14.25" customHeight="1" x14ac:dyDescent="0.25">
      <c r="L48" s="1"/>
      <c r="M48" s="1"/>
      <c r="N48" s="1"/>
    </row>
    <row r="49" spans="12:14" ht="15" customHeight="1" x14ac:dyDescent="0.25">
      <c r="L49" s="1"/>
      <c r="M49" s="1"/>
      <c r="N49" s="1"/>
    </row>
    <row r="50" spans="12:14" ht="15.75" customHeight="1" x14ac:dyDescent="0.25">
      <c r="L50" s="1"/>
      <c r="M50" s="1"/>
      <c r="N50" s="1"/>
    </row>
    <row r="51" spans="12:14" ht="14.25" customHeight="1" x14ac:dyDescent="0.25">
      <c r="L51" s="1"/>
      <c r="M51" s="1"/>
      <c r="N51" s="1"/>
    </row>
    <row r="52" spans="12:14" ht="15" customHeight="1" x14ac:dyDescent="0.25">
      <c r="L52" s="1"/>
      <c r="M52" s="1"/>
      <c r="N52" s="1"/>
    </row>
    <row r="53" spans="12:14" ht="15.75" customHeight="1" x14ac:dyDescent="0.25">
      <c r="L53" s="1"/>
      <c r="M53" s="1"/>
      <c r="N53" s="1"/>
    </row>
    <row r="54" spans="12:14" ht="14.25" customHeight="1" x14ac:dyDescent="0.25">
      <c r="L54" s="1"/>
      <c r="M54" s="1"/>
      <c r="N54" s="1"/>
    </row>
    <row r="55" spans="12:14" ht="15" customHeight="1" x14ac:dyDescent="0.25">
      <c r="L55" s="1"/>
      <c r="M55" s="1"/>
      <c r="N55" s="1"/>
    </row>
    <row r="56" spans="12:14" ht="14.25" customHeight="1" x14ac:dyDescent="0.25">
      <c r="L56" s="1"/>
      <c r="M56" s="1"/>
      <c r="N56" s="1"/>
    </row>
    <row r="57" spans="12:14" ht="14.25" customHeight="1" x14ac:dyDescent="0.25">
      <c r="L57" s="1"/>
      <c r="M57" s="1"/>
      <c r="N57" s="1"/>
    </row>
    <row r="58" spans="12:14" ht="15" customHeight="1" x14ac:dyDescent="0.25">
      <c r="L58" s="1"/>
      <c r="M58" s="1"/>
      <c r="N58" s="1"/>
    </row>
    <row r="59" spans="12:14" ht="30" customHeight="1" x14ac:dyDescent="0.25">
      <c r="L59" s="1"/>
      <c r="M59" s="1"/>
      <c r="N59" s="1"/>
    </row>
    <row r="60" spans="12:14" ht="15" customHeight="1" x14ac:dyDescent="0.25">
      <c r="L60" s="1"/>
      <c r="M60" s="1"/>
      <c r="N6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D1FE-3F29-4C0B-9547-FFD463288C18}">
  <dimension ref="A1:R35"/>
  <sheetViews>
    <sheetView topLeftCell="A7" workbookViewId="0">
      <selection activeCell="K26" sqref="K26"/>
    </sheetView>
  </sheetViews>
  <sheetFormatPr defaultRowHeight="13.8" x14ac:dyDescent="0.25"/>
  <cols>
    <col min="1" max="1" width="15.21875" bestFit="1" customWidth="1"/>
    <col min="4" max="11" width="9" customWidth="1"/>
    <col min="12" max="12" width="13.44140625" bestFit="1" customWidth="1"/>
    <col min="13" max="13" width="11.33203125" customWidth="1"/>
    <col min="18" max="18" width="1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23</v>
      </c>
      <c r="E1" t="s">
        <v>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O1" t="s">
        <v>137</v>
      </c>
      <c r="P1" t="s">
        <v>138</v>
      </c>
      <c r="R1" t="s">
        <v>164</v>
      </c>
    </row>
    <row r="2" spans="1:18" x14ac:dyDescent="0.25">
      <c r="A2" t="s">
        <v>32</v>
      </c>
      <c r="B2" t="s">
        <v>33</v>
      </c>
      <c r="C2">
        <v>1891.45</v>
      </c>
      <c r="D2">
        <v>47099.9</v>
      </c>
      <c r="E2">
        <v>3209.31</v>
      </c>
      <c r="F2">
        <v>26500</v>
      </c>
      <c r="G2">
        <v>12100</v>
      </c>
      <c r="H2">
        <v>33800</v>
      </c>
      <c r="I2">
        <v>688</v>
      </c>
      <c r="J2">
        <v>21000</v>
      </c>
      <c r="K2">
        <v>39160</v>
      </c>
      <c r="L2">
        <v>54570</v>
      </c>
      <c r="M2">
        <v>58380</v>
      </c>
      <c r="O2" s="2">
        <v>195030</v>
      </c>
      <c r="P2" s="2">
        <v>9412.5</v>
      </c>
      <c r="R2" t="s">
        <v>150</v>
      </c>
    </row>
    <row r="3" spans="1:18" x14ac:dyDescent="0.25">
      <c r="A3" t="s">
        <v>34</v>
      </c>
      <c r="B3" t="s">
        <v>35</v>
      </c>
      <c r="C3">
        <v>125.21</v>
      </c>
      <c r="D3">
        <v>4172.59</v>
      </c>
      <c r="E3">
        <v>515.15</v>
      </c>
      <c r="F3">
        <v>2720</v>
      </c>
      <c r="G3">
        <v>2630</v>
      </c>
      <c r="H3">
        <v>20400</v>
      </c>
      <c r="I3">
        <v>17200</v>
      </c>
      <c r="J3">
        <v>13900</v>
      </c>
      <c r="K3">
        <v>4210</v>
      </c>
      <c r="L3">
        <v>6930</v>
      </c>
      <c r="M3">
        <v>6600</v>
      </c>
      <c r="O3" s="2">
        <v>514370</v>
      </c>
      <c r="P3" s="2">
        <v>2110</v>
      </c>
      <c r="R3" t="s">
        <v>151</v>
      </c>
    </row>
    <row r="4" spans="1:18" x14ac:dyDescent="0.25">
      <c r="A4" t="s">
        <v>36</v>
      </c>
      <c r="B4" t="s">
        <v>37</v>
      </c>
      <c r="C4">
        <v>407</v>
      </c>
      <c r="D4">
        <v>200.51</v>
      </c>
      <c r="E4">
        <v>114.89</v>
      </c>
      <c r="F4">
        <v>2050</v>
      </c>
      <c r="G4">
        <v>4730</v>
      </c>
      <c r="H4">
        <v>33500</v>
      </c>
      <c r="I4">
        <v>29600.000000000004</v>
      </c>
      <c r="J4">
        <v>29100.000000000004</v>
      </c>
      <c r="K4">
        <v>1900</v>
      </c>
      <c r="L4">
        <v>5240</v>
      </c>
      <c r="M4">
        <v>3050</v>
      </c>
      <c r="O4" s="2">
        <v>357110</v>
      </c>
      <c r="P4" s="2">
        <v>1962.29</v>
      </c>
      <c r="R4" t="s">
        <v>152</v>
      </c>
    </row>
    <row r="5" spans="1:18" x14ac:dyDescent="0.25">
      <c r="A5" t="s">
        <v>38</v>
      </c>
      <c r="B5" t="s">
        <v>35</v>
      </c>
      <c r="C5">
        <v>2733.35</v>
      </c>
      <c r="D5">
        <v>137.69999999999999</v>
      </c>
      <c r="E5">
        <v>25995.249999999996</v>
      </c>
      <c r="F5">
        <v>510999.99999999994</v>
      </c>
      <c r="G5">
        <v>335000</v>
      </c>
      <c r="H5">
        <v>175000</v>
      </c>
      <c r="I5">
        <v>124000.00000000001</v>
      </c>
      <c r="J5">
        <v>267000</v>
      </c>
      <c r="K5">
        <v>34680</v>
      </c>
      <c r="L5">
        <v>48880</v>
      </c>
      <c r="M5">
        <v>256299.99999999997</v>
      </c>
      <c r="O5" s="2">
        <v>480980</v>
      </c>
      <c r="P5" s="2">
        <v>1282.1099999999999</v>
      </c>
      <c r="R5" t="s">
        <v>153</v>
      </c>
    </row>
    <row r="6" spans="1:18" x14ac:dyDescent="0.25">
      <c r="A6" t="s">
        <v>39</v>
      </c>
      <c r="B6" t="s">
        <v>35</v>
      </c>
      <c r="C6">
        <v>5370</v>
      </c>
      <c r="D6">
        <v>63.74</v>
      </c>
      <c r="E6">
        <v>26915.56</v>
      </c>
      <c r="F6">
        <v>164000</v>
      </c>
      <c r="G6">
        <v>205999.99999999997</v>
      </c>
      <c r="H6">
        <v>274000</v>
      </c>
      <c r="I6">
        <v>124000.00000000001</v>
      </c>
      <c r="J6">
        <v>372999.99999999994</v>
      </c>
      <c r="K6">
        <v>37500</v>
      </c>
      <c r="L6">
        <v>45580</v>
      </c>
      <c r="M6">
        <v>245760</v>
      </c>
      <c r="O6" s="2">
        <v>373000</v>
      </c>
      <c r="P6" s="2">
        <v>29862.5</v>
      </c>
      <c r="R6" t="s">
        <v>154</v>
      </c>
    </row>
    <row r="7" spans="1:18" x14ac:dyDescent="0.25">
      <c r="A7" t="s">
        <v>40</v>
      </c>
      <c r="B7" t="s">
        <v>35</v>
      </c>
      <c r="C7">
        <v>3150.61</v>
      </c>
      <c r="D7">
        <v>2433.4299999999998</v>
      </c>
      <c r="E7">
        <v>7966.3600000000006</v>
      </c>
      <c r="F7">
        <v>1070</v>
      </c>
      <c r="G7">
        <v>0</v>
      </c>
      <c r="H7">
        <v>0</v>
      </c>
      <c r="I7">
        <v>0</v>
      </c>
      <c r="J7">
        <v>0</v>
      </c>
      <c r="K7">
        <v>6560</v>
      </c>
      <c r="L7">
        <v>112100</v>
      </c>
      <c r="M7">
        <v>2260</v>
      </c>
      <c r="O7" s="2">
        <v>118700</v>
      </c>
      <c r="P7" s="2">
        <v>1632.4349999999999</v>
      </c>
      <c r="R7" t="s">
        <v>155</v>
      </c>
    </row>
    <row r="9" spans="1:18" x14ac:dyDescent="0.25">
      <c r="A9" t="s">
        <v>217</v>
      </c>
    </row>
    <row r="10" spans="1:18" x14ac:dyDescent="0.25">
      <c r="A10" t="s">
        <v>32</v>
      </c>
      <c r="B10" t="s">
        <v>33</v>
      </c>
      <c r="C10">
        <v>1891.45</v>
      </c>
      <c r="D10" s="7">
        <f>D2/$C2</f>
        <v>24.901477702291892</v>
      </c>
      <c r="E10" s="7">
        <f t="shared" ref="E10:M10" si="0">E2/$C2</f>
        <v>1.6967458827883368</v>
      </c>
      <c r="F10" s="7">
        <f t="shared" si="0"/>
        <v>14.010415289856988</v>
      </c>
      <c r="G10" s="7">
        <f t="shared" si="0"/>
        <v>6.3972084908403604</v>
      </c>
      <c r="H10" s="7">
        <f t="shared" si="0"/>
        <v>17.869888181025139</v>
      </c>
      <c r="I10" s="7">
        <f t="shared" si="0"/>
        <v>0.36374210261968332</v>
      </c>
      <c r="J10" s="7">
        <f t="shared" si="0"/>
        <v>11.102593248565915</v>
      </c>
      <c r="K10" s="7">
        <f t="shared" si="0"/>
        <v>20.703692933992439</v>
      </c>
      <c r="L10" s="7">
        <f t="shared" si="0"/>
        <v>28.850881598773427</v>
      </c>
      <c r="M10" s="7">
        <f t="shared" si="0"/>
        <v>30.865209231013242</v>
      </c>
    </row>
    <row r="11" spans="1:18" x14ac:dyDescent="0.25">
      <c r="A11" t="s">
        <v>34</v>
      </c>
      <c r="B11" t="s">
        <v>35</v>
      </c>
      <c r="C11">
        <v>125.21</v>
      </c>
      <c r="D11" s="7">
        <f t="shared" ref="D11:M11" si="1">D3/$C3</f>
        <v>33.324734446130506</v>
      </c>
      <c r="E11" s="7">
        <f t="shared" si="1"/>
        <v>4.11428799616644</v>
      </c>
      <c r="F11" s="7">
        <f t="shared" si="1"/>
        <v>21.723504512419137</v>
      </c>
      <c r="G11" s="7">
        <f t="shared" si="1"/>
        <v>21.004712083699385</v>
      </c>
      <c r="H11" s="7">
        <f t="shared" si="1"/>
        <v>162.92628384314352</v>
      </c>
      <c r="I11" s="7">
        <f t="shared" si="1"/>
        <v>137.36921971088572</v>
      </c>
      <c r="J11" s="7">
        <f t="shared" si="1"/>
        <v>111.01349732449485</v>
      </c>
      <c r="K11" s="7">
        <f t="shared" si="1"/>
        <v>33.623512499001677</v>
      </c>
      <c r="L11" s="7">
        <f t="shared" si="1"/>
        <v>55.347017011420817</v>
      </c>
      <c r="M11" s="7">
        <f t="shared" si="1"/>
        <v>52.711444772781732</v>
      </c>
    </row>
    <row r="12" spans="1:18" x14ac:dyDescent="0.25">
      <c r="A12" t="s">
        <v>36</v>
      </c>
      <c r="B12" t="s">
        <v>37</v>
      </c>
      <c r="C12">
        <v>407</v>
      </c>
      <c r="D12" s="7">
        <f t="shared" ref="D12:M12" si="2">D4/$C4</f>
        <v>0.49265356265356264</v>
      </c>
      <c r="E12" s="7">
        <f t="shared" si="2"/>
        <v>0.28228501228501229</v>
      </c>
      <c r="F12" s="7">
        <f t="shared" si="2"/>
        <v>5.0368550368550364</v>
      </c>
      <c r="G12" s="7">
        <f t="shared" si="2"/>
        <v>11.621621621621621</v>
      </c>
      <c r="H12" s="7">
        <f t="shared" si="2"/>
        <v>82.309582309582311</v>
      </c>
      <c r="I12" s="7">
        <f t="shared" si="2"/>
        <v>72.727272727272734</v>
      </c>
      <c r="J12" s="7">
        <f t="shared" si="2"/>
        <v>71.498771498771504</v>
      </c>
      <c r="K12" s="7">
        <f t="shared" si="2"/>
        <v>4.6683046683046685</v>
      </c>
      <c r="L12" s="7">
        <f t="shared" si="2"/>
        <v>12.874692874692874</v>
      </c>
      <c r="M12" s="7">
        <f t="shared" si="2"/>
        <v>7.4938574938574938</v>
      </c>
    </row>
    <row r="13" spans="1:18" x14ac:dyDescent="0.25">
      <c r="A13" t="s">
        <v>38</v>
      </c>
      <c r="B13" t="s">
        <v>35</v>
      </c>
      <c r="C13">
        <v>2733.35</v>
      </c>
      <c r="D13" s="7">
        <f t="shared" ref="D13:M13" si="3">D5/$C5</f>
        <v>5.0377741599136591E-2</v>
      </c>
      <c r="E13" s="7">
        <f t="shared" si="3"/>
        <v>9.5103993268333724</v>
      </c>
      <c r="F13" s="7">
        <f t="shared" si="3"/>
        <v>186.95007957268552</v>
      </c>
      <c r="G13" s="7">
        <f t="shared" si="3"/>
        <v>122.56022829129091</v>
      </c>
      <c r="H13" s="7">
        <f t="shared" si="3"/>
        <v>64.023999853659433</v>
      </c>
      <c r="I13" s="7">
        <f t="shared" si="3"/>
        <v>45.3655770391644</v>
      </c>
      <c r="J13" s="7">
        <f t="shared" si="3"/>
        <v>97.68233120529753</v>
      </c>
      <c r="K13" s="7">
        <f t="shared" si="3"/>
        <v>12.687727513856624</v>
      </c>
      <c r="L13" s="7">
        <f t="shared" si="3"/>
        <v>17.882817787696418</v>
      </c>
      <c r="M13" s="7">
        <f t="shared" si="3"/>
        <v>93.76772092853092</v>
      </c>
    </row>
    <row r="14" spans="1:18" x14ac:dyDescent="0.25">
      <c r="A14" t="s">
        <v>39</v>
      </c>
      <c r="B14" t="s">
        <v>35</v>
      </c>
      <c r="C14">
        <v>5370</v>
      </c>
      <c r="D14" s="7">
        <f t="shared" ref="D14:M14" si="4">D6/$C6</f>
        <v>1.1869646182495345E-2</v>
      </c>
      <c r="E14" s="7">
        <f t="shared" si="4"/>
        <v>5.0122085661080078</v>
      </c>
      <c r="F14" s="7">
        <f t="shared" si="4"/>
        <v>30.540037243947857</v>
      </c>
      <c r="G14" s="7">
        <f t="shared" si="4"/>
        <v>38.361266294227185</v>
      </c>
      <c r="H14" s="7">
        <f t="shared" si="4"/>
        <v>51.024208566108008</v>
      </c>
      <c r="I14" s="7">
        <f t="shared" si="4"/>
        <v>23.09124767225326</v>
      </c>
      <c r="J14" s="7">
        <f t="shared" si="4"/>
        <v>69.459962756052136</v>
      </c>
      <c r="K14" s="7">
        <f t="shared" si="4"/>
        <v>6.983240223463687</v>
      </c>
      <c r="L14" s="7">
        <f t="shared" si="4"/>
        <v>8.4878957169459959</v>
      </c>
      <c r="M14" s="7">
        <f t="shared" si="4"/>
        <v>45.765363128491622</v>
      </c>
    </row>
    <row r="15" spans="1:18" x14ac:dyDescent="0.25">
      <c r="A15" t="s">
        <v>40</v>
      </c>
      <c r="B15" t="s">
        <v>35</v>
      </c>
      <c r="C15">
        <v>3150.61</v>
      </c>
      <c r="D15" s="10">
        <f t="shared" ref="D15:M15" si="5">D7/$C7</f>
        <v>0.77236789066244305</v>
      </c>
      <c r="E15" s="10">
        <f t="shared" si="5"/>
        <v>2.5285135259521172</v>
      </c>
      <c r="F15" s="10">
        <f t="shared" si="5"/>
        <v>0.33961677262498374</v>
      </c>
      <c r="G15" s="10">
        <f t="shared" si="5"/>
        <v>0</v>
      </c>
      <c r="H15" s="10">
        <f t="shared" si="5"/>
        <v>0</v>
      </c>
      <c r="I15" s="10">
        <f t="shared" si="5"/>
        <v>0</v>
      </c>
      <c r="J15" s="10">
        <f t="shared" si="5"/>
        <v>0</v>
      </c>
      <c r="K15" s="10">
        <f t="shared" si="5"/>
        <v>2.0821364751587788</v>
      </c>
      <c r="L15" s="10">
        <f t="shared" si="5"/>
        <v>35.580411412393154</v>
      </c>
      <c r="M15" s="10">
        <f t="shared" si="5"/>
        <v>0.71732140760043295</v>
      </c>
    </row>
    <row r="19" spans="1:16" x14ac:dyDescent="0.25">
      <c r="A19" t="s">
        <v>71</v>
      </c>
    </row>
    <row r="20" spans="1:16" x14ac:dyDescent="0.25">
      <c r="A20" t="s">
        <v>72</v>
      </c>
      <c r="B20" s="8" t="s">
        <v>34</v>
      </c>
      <c r="C20" t="s">
        <v>77</v>
      </c>
      <c r="D20" t="s">
        <v>78</v>
      </c>
      <c r="E20" t="s">
        <v>79</v>
      </c>
    </row>
    <row r="21" spans="1:16" x14ac:dyDescent="0.25">
      <c r="A21" t="s">
        <v>73</v>
      </c>
      <c r="B21" t="s">
        <v>78</v>
      </c>
      <c r="C21" t="s">
        <v>79</v>
      </c>
    </row>
    <row r="22" spans="1:16" x14ac:dyDescent="0.25">
      <c r="A22" t="s">
        <v>74</v>
      </c>
      <c r="B22" t="s">
        <v>80</v>
      </c>
    </row>
    <row r="25" spans="1:16" x14ac:dyDescent="0.25">
      <c r="A25" t="s">
        <v>130</v>
      </c>
    </row>
    <row r="26" spans="1:16" ht="15.6" x14ac:dyDescent="0.25">
      <c r="A26" s="6" t="s">
        <v>124</v>
      </c>
      <c r="B26" s="2" t="s">
        <v>125</v>
      </c>
      <c r="C26" s="6" t="s">
        <v>126</v>
      </c>
      <c r="D26" s="3" t="s">
        <v>127</v>
      </c>
      <c r="E26" s="2" t="s">
        <v>128</v>
      </c>
      <c r="F26" s="6" t="s">
        <v>129</v>
      </c>
      <c r="H26" t="s">
        <v>131</v>
      </c>
      <c r="K26" t="s">
        <v>223</v>
      </c>
      <c r="L26" t="s">
        <v>32</v>
      </c>
      <c r="M26" t="s">
        <v>36</v>
      </c>
      <c r="N26" t="s">
        <v>38</v>
      </c>
      <c r="O26" t="s">
        <v>39</v>
      </c>
      <c r="P26" t="s">
        <v>40</v>
      </c>
    </row>
    <row r="27" spans="1:16" ht="15.6" x14ac:dyDescent="0.25">
      <c r="A27" s="2">
        <v>8</v>
      </c>
      <c r="B27" s="2" t="s">
        <v>88</v>
      </c>
      <c r="C27" s="2" t="s">
        <v>89</v>
      </c>
      <c r="D27" s="3" t="s">
        <v>90</v>
      </c>
      <c r="E27" s="2" t="s">
        <v>91</v>
      </c>
      <c r="F27" s="2">
        <v>14100</v>
      </c>
      <c r="G27" s="2"/>
      <c r="H27" s="2">
        <v>462875</v>
      </c>
      <c r="L27">
        <v>195030</v>
      </c>
      <c r="M27">
        <v>357110</v>
      </c>
      <c r="N27">
        <v>480980</v>
      </c>
      <c r="O27">
        <v>373000</v>
      </c>
      <c r="P27">
        <v>118700</v>
      </c>
    </row>
    <row r="28" spans="1:16" ht="15.6" x14ac:dyDescent="0.25">
      <c r="A28" s="2">
        <v>15</v>
      </c>
      <c r="B28" s="2" t="s">
        <v>92</v>
      </c>
      <c r="C28" s="2" t="s">
        <v>93</v>
      </c>
      <c r="D28" s="3" t="s">
        <v>94</v>
      </c>
      <c r="E28" s="2" t="s">
        <v>95</v>
      </c>
      <c r="F28" s="2">
        <v>540</v>
      </c>
      <c r="G28" s="2"/>
      <c r="H28" s="2">
        <v>478.2</v>
      </c>
      <c r="L28">
        <v>12000</v>
      </c>
      <c r="M28">
        <v>6250</v>
      </c>
      <c r="N28">
        <v>120000</v>
      </c>
      <c r="O28">
        <v>64000</v>
      </c>
      <c r="P28">
        <v>11000</v>
      </c>
    </row>
    <row r="29" spans="1:16" ht="14.4" x14ac:dyDescent="0.25">
      <c r="A29" s="2">
        <v>19</v>
      </c>
      <c r="B29" s="2" t="s">
        <v>96</v>
      </c>
      <c r="C29" s="2" t="s">
        <v>97</v>
      </c>
      <c r="D29" s="5" t="s">
        <v>98</v>
      </c>
      <c r="E29" s="2" t="s">
        <v>99</v>
      </c>
      <c r="F29" s="2">
        <v>2000</v>
      </c>
      <c r="G29" s="4"/>
      <c r="H29" s="2">
        <v>846.7</v>
      </c>
      <c r="L29">
        <v>9412</v>
      </c>
      <c r="M29">
        <v>1962</v>
      </c>
      <c r="N29">
        <v>1282</v>
      </c>
      <c r="O29">
        <v>29862</v>
      </c>
      <c r="P29">
        <v>2200</v>
      </c>
    </row>
    <row r="30" spans="1:16" ht="14.4" x14ac:dyDescent="0.25">
      <c r="A30" s="2">
        <v>20</v>
      </c>
      <c r="B30" s="2" t="s">
        <v>100</v>
      </c>
      <c r="C30" s="2" t="s">
        <v>101</v>
      </c>
      <c r="D30" s="5" t="s">
        <v>102</v>
      </c>
      <c r="E30" s="2" t="s">
        <v>103</v>
      </c>
      <c r="F30" s="2">
        <v>250</v>
      </c>
      <c r="G30" s="4"/>
      <c r="H30" s="2">
        <v>215.8</v>
      </c>
      <c r="L30">
        <v>2400</v>
      </c>
      <c r="M30">
        <f>1250*0.8</f>
        <v>1000</v>
      </c>
      <c r="O30">
        <v>16000</v>
      </c>
      <c r="P30">
        <f>1305</f>
        <v>1305</v>
      </c>
    </row>
    <row r="31" spans="1:16" ht="14.4" x14ac:dyDescent="0.25">
      <c r="A31" s="2">
        <v>23</v>
      </c>
      <c r="B31" s="2" t="s">
        <v>104</v>
      </c>
      <c r="C31" s="2" t="s">
        <v>105</v>
      </c>
      <c r="D31" s="5" t="s">
        <v>106</v>
      </c>
      <c r="E31" s="2" t="s">
        <v>107</v>
      </c>
      <c r="F31" s="2">
        <v>54000</v>
      </c>
      <c r="G31" s="2"/>
      <c r="H31" s="2">
        <v>142834</v>
      </c>
    </row>
    <row r="32" spans="1:16" ht="15.6" x14ac:dyDescent="0.25">
      <c r="A32" s="2">
        <v>25</v>
      </c>
      <c r="B32" s="2" t="s">
        <v>108</v>
      </c>
      <c r="C32" s="2" t="s">
        <v>109</v>
      </c>
      <c r="D32" s="5" t="s">
        <v>110</v>
      </c>
      <c r="E32" s="6" t="s">
        <v>111</v>
      </c>
      <c r="F32" s="2">
        <v>950</v>
      </c>
      <c r="G32" s="6"/>
      <c r="H32" s="2">
        <v>361.45</v>
      </c>
    </row>
    <row r="33" spans="1:8" ht="15.6" x14ac:dyDescent="0.25">
      <c r="A33" s="2">
        <v>26</v>
      </c>
      <c r="B33" s="2" t="s">
        <v>112</v>
      </c>
      <c r="C33" s="2" t="s">
        <v>113</v>
      </c>
      <c r="D33" s="5" t="s">
        <v>114</v>
      </c>
      <c r="E33" s="6" t="s">
        <v>115</v>
      </c>
      <c r="F33" s="2">
        <v>500000</v>
      </c>
      <c r="G33" s="4"/>
      <c r="H33" s="2">
        <v>37246</v>
      </c>
    </row>
    <row r="34" spans="1:8" ht="15.6" x14ac:dyDescent="0.25">
      <c r="A34" s="2">
        <v>57</v>
      </c>
      <c r="B34" s="2" t="s">
        <v>116</v>
      </c>
      <c r="C34" s="2" t="s">
        <v>117</v>
      </c>
      <c r="D34" s="3" t="s">
        <v>118</v>
      </c>
      <c r="E34" s="2" t="s">
        <v>119</v>
      </c>
      <c r="F34" s="2">
        <v>4.7</v>
      </c>
      <c r="G34" s="4"/>
      <c r="H34" s="2">
        <v>5.1749999999999998</v>
      </c>
    </row>
    <row r="35" spans="1:8" ht="14.4" x14ac:dyDescent="0.25">
      <c r="A35" s="2">
        <v>60</v>
      </c>
      <c r="B35" s="2" t="s">
        <v>120</v>
      </c>
      <c r="C35" s="2" t="s">
        <v>121</v>
      </c>
      <c r="D35" s="5" t="s">
        <v>122</v>
      </c>
      <c r="E35" s="2" t="s">
        <v>123</v>
      </c>
      <c r="F35" s="2">
        <v>670</v>
      </c>
      <c r="G35" s="4"/>
      <c r="H35" s="2">
        <v>179.75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643F-2FE1-4D5D-9C2B-CAAE985079F5}">
  <dimension ref="A1:T39"/>
  <sheetViews>
    <sheetView workbookViewId="0">
      <selection activeCell="T37" sqref="T37"/>
    </sheetView>
  </sheetViews>
  <sheetFormatPr defaultRowHeight="13.8" x14ac:dyDescent="0.25"/>
  <cols>
    <col min="4" max="12" width="9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42</v>
      </c>
      <c r="G1" t="s">
        <v>43</v>
      </c>
      <c r="H1" t="s">
        <v>44</v>
      </c>
      <c r="I1" t="s">
        <v>45</v>
      </c>
      <c r="J1" t="s">
        <v>4</v>
      </c>
      <c r="K1" t="s">
        <v>5</v>
      </c>
      <c r="L1" t="s">
        <v>46</v>
      </c>
      <c r="N1" t="s">
        <v>137</v>
      </c>
      <c r="O1" t="s">
        <v>138</v>
      </c>
      <c r="Q1" t="s">
        <v>164</v>
      </c>
    </row>
    <row r="2" spans="1:17" x14ac:dyDescent="0.25">
      <c r="A2" t="s">
        <v>47</v>
      </c>
      <c r="B2" t="s">
        <v>48</v>
      </c>
      <c r="C2">
        <v>2520</v>
      </c>
      <c r="D2">
        <v>42842.063200000004</v>
      </c>
      <c r="E2">
        <v>482914.56</v>
      </c>
      <c r="F2">
        <v>278286.90000000002</v>
      </c>
      <c r="G2">
        <v>427017.24</v>
      </c>
      <c r="H2">
        <v>226308.26</v>
      </c>
      <c r="I2">
        <v>680500</v>
      </c>
      <c r="J2">
        <v>317000</v>
      </c>
      <c r="K2">
        <v>325170</v>
      </c>
      <c r="L2">
        <v>803500</v>
      </c>
      <c r="N2" s="2">
        <v>1552320</v>
      </c>
      <c r="O2" s="2">
        <v>130000</v>
      </c>
      <c r="Q2" t="s">
        <v>162</v>
      </c>
    </row>
    <row r="3" spans="1:17" x14ac:dyDescent="0.25">
      <c r="A3" t="s">
        <v>49</v>
      </c>
      <c r="B3" t="s">
        <v>50</v>
      </c>
      <c r="C3">
        <v>1580</v>
      </c>
      <c r="D3">
        <v>7462.98</v>
      </c>
      <c r="E3">
        <v>62248.139999999992</v>
      </c>
      <c r="F3">
        <v>24685.74</v>
      </c>
      <c r="G3">
        <v>0</v>
      </c>
      <c r="H3">
        <v>0</v>
      </c>
      <c r="I3">
        <v>30100</v>
      </c>
      <c r="J3">
        <v>36900</v>
      </c>
      <c r="K3">
        <v>0</v>
      </c>
      <c r="L3">
        <v>0</v>
      </c>
      <c r="N3" s="2">
        <v>123135</v>
      </c>
      <c r="O3" s="2">
        <v>3156.5</v>
      </c>
      <c r="Q3" t="s">
        <v>156</v>
      </c>
    </row>
    <row r="4" spans="1:17" x14ac:dyDescent="0.25">
      <c r="A4" s="8" t="s">
        <v>51</v>
      </c>
      <c r="B4" t="s">
        <v>52</v>
      </c>
      <c r="C4">
        <v>3891.11</v>
      </c>
      <c r="D4">
        <v>2887.1961999999999</v>
      </c>
      <c r="E4">
        <v>25597.38</v>
      </c>
      <c r="F4">
        <v>18963.060000000001</v>
      </c>
      <c r="G4">
        <v>12703.48</v>
      </c>
      <c r="H4">
        <v>8964.69</v>
      </c>
      <c r="I4">
        <v>32200</v>
      </c>
      <c r="J4">
        <v>24400</v>
      </c>
      <c r="K4">
        <v>14880</v>
      </c>
      <c r="L4">
        <v>52700</v>
      </c>
      <c r="N4" s="2">
        <v>333536</v>
      </c>
      <c r="O4" s="2">
        <v>8600</v>
      </c>
      <c r="Q4" t="s">
        <v>157</v>
      </c>
    </row>
    <row r="5" spans="1:17" x14ac:dyDescent="0.25">
      <c r="A5" t="s">
        <v>53</v>
      </c>
      <c r="B5" t="s">
        <v>48</v>
      </c>
      <c r="C5">
        <v>2700</v>
      </c>
      <c r="D5">
        <v>3268.4882999999995</v>
      </c>
      <c r="E5">
        <v>5394.06</v>
      </c>
      <c r="F5">
        <v>28336.89</v>
      </c>
      <c r="G5">
        <v>132495.72</v>
      </c>
      <c r="H5">
        <v>59538.62</v>
      </c>
      <c r="I5">
        <v>8100</v>
      </c>
      <c r="J5">
        <v>6800</v>
      </c>
      <c r="K5">
        <v>7910</v>
      </c>
      <c r="L5">
        <v>20700</v>
      </c>
      <c r="N5" s="2">
        <v>154130</v>
      </c>
      <c r="O5" s="2">
        <v>6630.5</v>
      </c>
      <c r="Q5" t="s">
        <v>158</v>
      </c>
    </row>
    <row r="6" spans="1:17" x14ac:dyDescent="0.25">
      <c r="A6" s="8" t="s">
        <v>54</v>
      </c>
      <c r="B6" t="s">
        <v>50</v>
      </c>
      <c r="C6">
        <v>13281.23</v>
      </c>
      <c r="D6">
        <v>28984.584699999999</v>
      </c>
      <c r="E6">
        <v>3824.1</v>
      </c>
      <c r="F6">
        <v>5521.14</v>
      </c>
      <c r="G6">
        <v>21471</v>
      </c>
      <c r="H6">
        <v>12408.06</v>
      </c>
      <c r="I6">
        <v>62500.000000000007</v>
      </c>
      <c r="J6">
        <v>94600</v>
      </c>
      <c r="K6">
        <v>11220</v>
      </c>
      <c r="L6">
        <v>15999.999999999998</v>
      </c>
      <c r="N6" s="2">
        <v>122710</v>
      </c>
      <c r="O6" s="2">
        <v>5494.9</v>
      </c>
      <c r="Q6" t="s">
        <v>163</v>
      </c>
    </row>
    <row r="7" spans="1:17" x14ac:dyDescent="0.25">
      <c r="A7" t="s">
        <v>55</v>
      </c>
      <c r="B7" t="s">
        <v>56</v>
      </c>
      <c r="C7">
        <v>964.64</v>
      </c>
      <c r="D7">
        <v>38431.257599999997</v>
      </c>
      <c r="E7">
        <v>156444.82</v>
      </c>
      <c r="F7">
        <v>76054.080000000002</v>
      </c>
      <c r="G7">
        <v>40968.910000000003</v>
      </c>
      <c r="H7">
        <v>36729.230000000003</v>
      </c>
      <c r="I7">
        <v>550200</v>
      </c>
      <c r="J7">
        <v>253100</v>
      </c>
      <c r="K7">
        <v>41050</v>
      </c>
      <c r="L7">
        <v>203700</v>
      </c>
      <c r="N7" s="2">
        <v>550200</v>
      </c>
      <c r="O7" s="2">
        <v>41551.588799999998</v>
      </c>
      <c r="Q7" t="s">
        <v>159</v>
      </c>
    </row>
    <row r="8" spans="1:17" x14ac:dyDescent="0.25">
      <c r="A8" s="1" t="s">
        <v>57</v>
      </c>
      <c r="B8" t="s">
        <v>48</v>
      </c>
      <c r="C8">
        <v>160000</v>
      </c>
      <c r="D8">
        <v>228800</v>
      </c>
      <c r="E8">
        <v>160131.32000000004</v>
      </c>
      <c r="F8">
        <v>206687.31</v>
      </c>
      <c r="G8">
        <v>103564.41</v>
      </c>
      <c r="H8">
        <v>64412.400000000009</v>
      </c>
      <c r="I8">
        <v>618100</v>
      </c>
      <c r="J8">
        <v>498000</v>
      </c>
      <c r="K8">
        <v>782760</v>
      </c>
      <c r="L8">
        <v>371900</v>
      </c>
      <c r="N8" s="2">
        <v>1800500</v>
      </c>
      <c r="O8" s="2">
        <v>143377.29999999999</v>
      </c>
      <c r="Q8" t="s">
        <v>160</v>
      </c>
    </row>
    <row r="9" spans="1:17" x14ac:dyDescent="0.25">
      <c r="A9" t="s">
        <v>58</v>
      </c>
      <c r="B9" t="s">
        <v>59</v>
      </c>
      <c r="C9">
        <v>1050</v>
      </c>
      <c r="D9">
        <v>3690.5091000000002</v>
      </c>
      <c r="E9">
        <v>289670.94</v>
      </c>
      <c r="F9">
        <v>40794.950000000004</v>
      </c>
      <c r="G9">
        <v>0</v>
      </c>
      <c r="H9">
        <v>0</v>
      </c>
      <c r="I9">
        <v>27100</v>
      </c>
      <c r="J9">
        <v>26100</v>
      </c>
      <c r="K9">
        <v>0</v>
      </c>
      <c r="L9">
        <v>26000</v>
      </c>
      <c r="N9" s="2">
        <v>32299.999999999996</v>
      </c>
      <c r="O9" s="2">
        <v>5762.5</v>
      </c>
      <c r="Q9" t="s">
        <v>161</v>
      </c>
    </row>
    <row r="11" spans="1:17" x14ac:dyDescent="0.25">
      <c r="A11" t="s">
        <v>218</v>
      </c>
    </row>
    <row r="12" spans="1:17" hidden="1" x14ac:dyDescent="0.25">
      <c r="A12" t="s">
        <v>47</v>
      </c>
      <c r="B12" t="s">
        <v>48</v>
      </c>
      <c r="C12">
        <v>2520</v>
      </c>
      <c r="D12" s="7">
        <f>D2/$C2</f>
        <v>17.000818730158731</v>
      </c>
      <c r="E12" s="7">
        <f t="shared" ref="E12:L12" si="0">E2/$C2</f>
        <v>191.63276190476191</v>
      </c>
      <c r="F12" s="7">
        <f t="shared" si="0"/>
        <v>110.43130952380953</v>
      </c>
      <c r="G12" s="7">
        <f t="shared" si="0"/>
        <v>169.45128571428572</v>
      </c>
      <c r="H12" s="7">
        <f t="shared" si="0"/>
        <v>89.804865079365086</v>
      </c>
      <c r="I12" s="7">
        <f t="shared" si="0"/>
        <v>270.03968253968253</v>
      </c>
      <c r="J12" s="7">
        <f t="shared" si="0"/>
        <v>125.7936507936508</v>
      </c>
      <c r="K12" s="7">
        <f t="shared" si="0"/>
        <v>129.03571428571428</v>
      </c>
      <c r="L12" s="7">
        <f t="shared" si="0"/>
        <v>318.84920634920633</v>
      </c>
    </row>
    <row r="13" spans="1:17" hidden="1" x14ac:dyDescent="0.25">
      <c r="A13" t="s">
        <v>49</v>
      </c>
      <c r="B13" t="s">
        <v>50</v>
      </c>
      <c r="C13">
        <v>1580</v>
      </c>
      <c r="D13" s="7">
        <f t="shared" ref="D13:L13" si="1">D3/$C3</f>
        <v>4.7234050632911391</v>
      </c>
      <c r="E13" s="7">
        <f t="shared" si="1"/>
        <v>39.397556962025313</v>
      </c>
      <c r="F13" s="7">
        <f t="shared" si="1"/>
        <v>15.623886075949368</v>
      </c>
      <c r="G13" s="7">
        <f t="shared" si="1"/>
        <v>0</v>
      </c>
      <c r="H13" s="7">
        <f t="shared" si="1"/>
        <v>0</v>
      </c>
      <c r="I13" s="7">
        <f t="shared" si="1"/>
        <v>19.050632911392405</v>
      </c>
      <c r="J13" s="7">
        <f t="shared" si="1"/>
        <v>23.354430379746834</v>
      </c>
      <c r="K13" s="7">
        <f t="shared" si="1"/>
        <v>0</v>
      </c>
      <c r="L13" s="7">
        <f t="shared" si="1"/>
        <v>0</v>
      </c>
    </row>
    <row r="14" spans="1:17" hidden="1" x14ac:dyDescent="0.25">
      <c r="A14" s="8" t="s">
        <v>51</v>
      </c>
      <c r="B14" t="s">
        <v>52</v>
      </c>
      <c r="C14">
        <v>3891.11</v>
      </c>
      <c r="D14" s="10">
        <f t="shared" ref="D14:L14" si="2">D4/$C4</f>
        <v>0.74199809308911846</v>
      </c>
      <c r="E14" s="10">
        <f t="shared" si="2"/>
        <v>6.5784262074318125</v>
      </c>
      <c r="F14" s="10">
        <f t="shared" si="2"/>
        <v>4.8734320026933187</v>
      </c>
      <c r="G14" s="10">
        <f t="shared" si="2"/>
        <v>3.2647445073513723</v>
      </c>
      <c r="H14" s="10">
        <f t="shared" si="2"/>
        <v>2.3038901495974158</v>
      </c>
      <c r="I14" s="10">
        <f t="shared" si="2"/>
        <v>8.2752736365715691</v>
      </c>
      <c r="J14" s="10">
        <f t="shared" si="2"/>
        <v>6.270704246346158</v>
      </c>
      <c r="K14" s="10">
        <f t="shared" si="2"/>
        <v>3.8241016059684769</v>
      </c>
      <c r="L14" s="10">
        <f t="shared" si="2"/>
        <v>13.543693187805022</v>
      </c>
    </row>
    <row r="15" spans="1:17" hidden="1" x14ac:dyDescent="0.25">
      <c r="A15" t="s">
        <v>53</v>
      </c>
      <c r="B15" t="s">
        <v>48</v>
      </c>
      <c r="C15">
        <v>2700</v>
      </c>
      <c r="D15" s="7">
        <f t="shared" ref="D15:L15" si="3">D5/$C5</f>
        <v>1.2105512222222221</v>
      </c>
      <c r="E15" s="7">
        <f t="shared" si="3"/>
        <v>1.9978000000000002</v>
      </c>
      <c r="F15" s="7">
        <f t="shared" si="3"/>
        <v>10.495144444444444</v>
      </c>
      <c r="G15" s="7">
        <f t="shared" si="3"/>
        <v>49.072488888888891</v>
      </c>
      <c r="H15" s="7">
        <f t="shared" si="3"/>
        <v>22.051340740740741</v>
      </c>
      <c r="I15" s="7">
        <f t="shared" si="3"/>
        <v>3</v>
      </c>
      <c r="J15" s="7">
        <f t="shared" si="3"/>
        <v>2.5185185185185186</v>
      </c>
      <c r="K15" s="7">
        <f t="shared" si="3"/>
        <v>2.9296296296296296</v>
      </c>
      <c r="L15" s="7">
        <f t="shared" si="3"/>
        <v>7.666666666666667</v>
      </c>
    </row>
    <row r="16" spans="1:17" hidden="1" x14ac:dyDescent="0.25">
      <c r="A16" s="8" t="s">
        <v>54</v>
      </c>
      <c r="B16" t="s">
        <v>50</v>
      </c>
      <c r="C16">
        <v>13281.23</v>
      </c>
      <c r="D16" s="10">
        <f t="shared" ref="D16:L16" si="4">D6/$C6</f>
        <v>2.1823720167484488</v>
      </c>
      <c r="E16" s="10">
        <f t="shared" si="4"/>
        <v>0.28793266888684255</v>
      </c>
      <c r="F16" s="10">
        <f t="shared" si="4"/>
        <v>0.41570999071622133</v>
      </c>
      <c r="G16" s="10">
        <f t="shared" si="4"/>
        <v>1.6166424344733132</v>
      </c>
      <c r="H16" s="10">
        <f t="shared" si="4"/>
        <v>0.9342553362903887</v>
      </c>
      <c r="I16" s="10">
        <f t="shared" si="4"/>
        <v>4.7058894394570387</v>
      </c>
      <c r="J16" s="10">
        <f t="shared" si="4"/>
        <v>7.1228342555621733</v>
      </c>
      <c r="K16" s="10">
        <f t="shared" si="4"/>
        <v>0.8448012721713275</v>
      </c>
      <c r="L16" s="10">
        <f t="shared" si="4"/>
        <v>1.2047076965010017</v>
      </c>
    </row>
    <row r="17" spans="1:20" hidden="1" x14ac:dyDescent="0.25">
      <c r="A17" t="s">
        <v>55</v>
      </c>
      <c r="B17" t="s">
        <v>56</v>
      </c>
      <c r="C17">
        <v>964.64</v>
      </c>
      <c r="D17" s="7">
        <f t="shared" ref="D17:L17" si="5">D7/$C7</f>
        <v>39.839999999999996</v>
      </c>
      <c r="E17" s="7">
        <f t="shared" si="5"/>
        <v>162.17948664786866</v>
      </c>
      <c r="F17" s="7">
        <f t="shared" si="5"/>
        <v>78.841930668435893</v>
      </c>
      <c r="G17" s="7">
        <f t="shared" si="5"/>
        <v>42.470672997180301</v>
      </c>
      <c r="H17" s="7">
        <f t="shared" si="5"/>
        <v>38.075582600762985</v>
      </c>
      <c r="I17" s="7">
        <f t="shared" si="5"/>
        <v>570.36822026870129</v>
      </c>
      <c r="J17" s="7">
        <f t="shared" si="5"/>
        <v>262.37767457289766</v>
      </c>
      <c r="K17" s="7">
        <f t="shared" si="5"/>
        <v>42.55473544534749</v>
      </c>
      <c r="L17" s="7">
        <f t="shared" si="5"/>
        <v>211.16686017581688</v>
      </c>
    </row>
    <row r="18" spans="1:20" hidden="1" x14ac:dyDescent="0.25">
      <c r="A18" s="8" t="s">
        <v>57</v>
      </c>
      <c r="B18" t="s">
        <v>48</v>
      </c>
      <c r="C18">
        <v>160000</v>
      </c>
      <c r="D18" s="10">
        <f t="shared" ref="D18:L18" si="6">D8/$C8</f>
        <v>1.43</v>
      </c>
      <c r="E18" s="10">
        <f t="shared" si="6"/>
        <v>1.0008207500000001</v>
      </c>
      <c r="F18" s="10">
        <f t="shared" si="6"/>
        <v>1.2917956875000001</v>
      </c>
      <c r="G18" s="10">
        <f t="shared" si="6"/>
        <v>0.64727756250000001</v>
      </c>
      <c r="H18" s="10">
        <f t="shared" si="6"/>
        <v>0.40257750000000003</v>
      </c>
      <c r="I18" s="10">
        <f t="shared" si="6"/>
        <v>3.8631250000000001</v>
      </c>
      <c r="J18" s="10">
        <f t="shared" si="6"/>
        <v>3.1124999999999998</v>
      </c>
      <c r="K18" s="10">
        <f t="shared" si="6"/>
        <v>4.8922499999999998</v>
      </c>
      <c r="L18" s="10">
        <f t="shared" si="6"/>
        <v>2.3243749999999999</v>
      </c>
    </row>
    <row r="19" spans="1:20" hidden="1" x14ac:dyDescent="0.25">
      <c r="A19" t="s">
        <v>58</v>
      </c>
      <c r="B19" t="s">
        <v>59</v>
      </c>
      <c r="C19">
        <v>1050</v>
      </c>
      <c r="D19" s="7">
        <f t="shared" ref="D19:L19" si="7">D9/$C9</f>
        <v>3.5147705714285715</v>
      </c>
      <c r="E19" s="7">
        <f t="shared" si="7"/>
        <v>275.87708571428573</v>
      </c>
      <c r="F19" s="7">
        <f t="shared" si="7"/>
        <v>38.852333333333334</v>
      </c>
      <c r="G19" s="7">
        <f t="shared" si="7"/>
        <v>0</v>
      </c>
      <c r="H19" s="7">
        <f t="shared" si="7"/>
        <v>0</v>
      </c>
      <c r="I19" s="7">
        <f t="shared" si="7"/>
        <v>25.80952380952381</v>
      </c>
      <c r="J19" s="7">
        <f t="shared" si="7"/>
        <v>24.857142857142858</v>
      </c>
      <c r="K19" s="7">
        <f t="shared" si="7"/>
        <v>0</v>
      </c>
      <c r="L19" s="7">
        <f t="shared" si="7"/>
        <v>24.761904761904763</v>
      </c>
    </row>
    <row r="22" spans="1:20" x14ac:dyDescent="0.25">
      <c r="A22" t="s">
        <v>71</v>
      </c>
    </row>
    <row r="23" spans="1:20" x14ac:dyDescent="0.25">
      <c r="A23" t="s">
        <v>72</v>
      </c>
      <c r="B23" s="8" t="s">
        <v>81</v>
      </c>
      <c r="C23" t="s">
        <v>82</v>
      </c>
    </row>
    <row r="24" spans="1:20" x14ac:dyDescent="0.25">
      <c r="A24" t="s">
        <v>73</v>
      </c>
      <c r="B24" t="s">
        <v>83</v>
      </c>
      <c r="C24" t="s">
        <v>84</v>
      </c>
    </row>
    <row r="25" spans="1:20" x14ac:dyDescent="0.25">
      <c r="A25" t="s">
        <v>74</v>
      </c>
      <c r="B25" s="8" t="s">
        <v>81</v>
      </c>
      <c r="C25" t="s">
        <v>82</v>
      </c>
      <c r="D25" t="s">
        <v>83</v>
      </c>
      <c r="E25" t="s">
        <v>84</v>
      </c>
      <c r="F25" s="8" t="s">
        <v>85</v>
      </c>
      <c r="G25" t="s">
        <v>86</v>
      </c>
    </row>
    <row r="26" spans="1:20" x14ac:dyDescent="0.25">
      <c r="A26" t="s">
        <v>75</v>
      </c>
      <c r="B26" t="s">
        <v>87</v>
      </c>
      <c r="C26" t="s">
        <v>83</v>
      </c>
    </row>
    <row r="29" spans="1:20" x14ac:dyDescent="0.25">
      <c r="A29" t="s">
        <v>130</v>
      </c>
    </row>
    <row r="30" spans="1:20" ht="15.6" x14ac:dyDescent="0.25">
      <c r="A30" s="6" t="s">
        <v>124</v>
      </c>
      <c r="B30" s="2" t="s">
        <v>125</v>
      </c>
      <c r="C30" s="6" t="s">
        <v>126</v>
      </c>
      <c r="D30" s="3" t="s">
        <v>127</v>
      </c>
      <c r="E30" s="2" t="s">
        <v>128</v>
      </c>
      <c r="F30" s="6" t="s">
        <v>129</v>
      </c>
      <c r="H30" t="s">
        <v>131</v>
      </c>
      <c r="L30" t="s">
        <v>223</v>
      </c>
      <c r="M30" t="s">
        <v>47</v>
      </c>
      <c r="N30" t="s">
        <v>49</v>
      </c>
      <c r="O30" s="8" t="s">
        <v>51</v>
      </c>
      <c r="P30" t="s">
        <v>53</v>
      </c>
      <c r="Q30" s="8" t="s">
        <v>54</v>
      </c>
      <c r="R30" t="s">
        <v>55</v>
      </c>
      <c r="S30" s="1" t="s">
        <v>57</v>
      </c>
      <c r="T30" t="s">
        <v>58</v>
      </c>
    </row>
    <row r="31" spans="1:20" ht="15.6" x14ac:dyDescent="0.25">
      <c r="A31" s="2">
        <v>8</v>
      </c>
      <c r="B31" s="2" t="s">
        <v>88</v>
      </c>
      <c r="C31" s="2" t="s">
        <v>89</v>
      </c>
      <c r="D31" s="11" t="s">
        <v>90</v>
      </c>
      <c r="E31" s="12" t="s">
        <v>91</v>
      </c>
      <c r="F31" s="12">
        <v>14100</v>
      </c>
      <c r="G31" s="12"/>
      <c r="H31" s="12">
        <v>462875</v>
      </c>
      <c r="M31">
        <v>1552320</v>
      </c>
      <c r="N31">
        <v>123135</v>
      </c>
      <c r="O31">
        <v>333536</v>
      </c>
      <c r="P31">
        <v>333536</v>
      </c>
      <c r="Q31">
        <v>122710</v>
      </c>
      <c r="R31">
        <v>550200</v>
      </c>
      <c r="S31">
        <v>1800500</v>
      </c>
      <c r="T31">
        <v>32300</v>
      </c>
    </row>
    <row r="32" spans="1:20" ht="15.6" x14ac:dyDescent="0.25">
      <c r="A32" s="2">
        <v>15</v>
      </c>
      <c r="B32" s="2" t="s">
        <v>92</v>
      </c>
      <c r="C32" s="2" t="s">
        <v>93</v>
      </c>
      <c r="D32" s="11" t="s">
        <v>94</v>
      </c>
      <c r="E32" s="12" t="s">
        <v>95</v>
      </c>
      <c r="F32" s="12">
        <v>540</v>
      </c>
      <c r="G32" s="12"/>
      <c r="H32" s="12">
        <v>478.2</v>
      </c>
      <c r="M32">
        <v>600000</v>
      </c>
      <c r="N32">
        <v>22500</v>
      </c>
      <c r="O32">
        <v>30000</v>
      </c>
      <c r="P32">
        <v>30000</v>
      </c>
      <c r="Q32">
        <v>36000</v>
      </c>
      <c r="R32">
        <v>110000</v>
      </c>
      <c r="S32">
        <v>1200000</v>
      </c>
      <c r="T32">
        <v>12000</v>
      </c>
    </row>
    <row r="33" spans="1:20" ht="14.4" x14ac:dyDescent="0.25">
      <c r="A33" s="2">
        <v>19</v>
      </c>
      <c r="B33" s="2" t="s">
        <v>96</v>
      </c>
      <c r="C33" s="2" t="s">
        <v>97</v>
      </c>
      <c r="D33" s="5" t="s">
        <v>98</v>
      </c>
      <c r="E33" s="2" t="s">
        <v>99</v>
      </c>
      <c r="F33" s="2">
        <v>2000</v>
      </c>
      <c r="G33" s="4"/>
      <c r="H33" s="2">
        <v>846.7</v>
      </c>
      <c r="M33">
        <v>130000</v>
      </c>
      <c r="N33">
        <v>3000</v>
      </c>
      <c r="O33">
        <v>8600</v>
      </c>
      <c r="P33">
        <v>8600</v>
      </c>
      <c r="Q33">
        <v>10000</v>
      </c>
      <c r="R33">
        <v>41551</v>
      </c>
      <c r="S33">
        <v>320000</v>
      </c>
      <c r="T33">
        <v>5762</v>
      </c>
    </row>
    <row r="34" spans="1:20" ht="14.4" x14ac:dyDescent="0.25">
      <c r="A34" s="2">
        <v>20</v>
      </c>
      <c r="B34" s="2" t="s">
        <v>100</v>
      </c>
      <c r="C34" s="2" t="s">
        <v>101</v>
      </c>
      <c r="D34" s="13" t="s">
        <v>102</v>
      </c>
      <c r="E34" s="12" t="s">
        <v>103</v>
      </c>
      <c r="F34" s="12">
        <v>250</v>
      </c>
      <c r="G34" s="17"/>
      <c r="H34" s="12">
        <v>215.8</v>
      </c>
      <c r="M34">
        <v>50000</v>
      </c>
      <c r="O34">
        <v>2400</v>
      </c>
      <c r="P34">
        <v>4800</v>
      </c>
      <c r="Q34">
        <v>5495</v>
      </c>
      <c r="R34">
        <v>15000</v>
      </c>
      <c r="S34">
        <v>143377</v>
      </c>
      <c r="T34">
        <v>1800</v>
      </c>
    </row>
    <row r="35" spans="1:20" ht="14.4" x14ac:dyDescent="0.25">
      <c r="A35" s="2">
        <v>23</v>
      </c>
      <c r="B35" s="2" t="s">
        <v>104</v>
      </c>
      <c r="C35" s="2" t="s">
        <v>105</v>
      </c>
      <c r="D35" s="13" t="s">
        <v>106</v>
      </c>
      <c r="E35" s="12" t="s">
        <v>107</v>
      </c>
      <c r="F35" s="12">
        <v>54000</v>
      </c>
      <c r="G35" s="12"/>
      <c r="H35" s="12">
        <v>142834</v>
      </c>
    </row>
    <row r="36" spans="1:20" ht="15.6" x14ac:dyDescent="0.25">
      <c r="A36" s="2">
        <v>25</v>
      </c>
      <c r="B36" s="2" t="s">
        <v>108</v>
      </c>
      <c r="C36" s="2" t="s">
        <v>109</v>
      </c>
      <c r="D36" s="5" t="s">
        <v>110</v>
      </c>
      <c r="E36" s="6" t="s">
        <v>111</v>
      </c>
      <c r="F36" s="2">
        <v>950</v>
      </c>
      <c r="G36" s="6"/>
      <c r="H36" s="2">
        <v>361.45</v>
      </c>
    </row>
    <row r="37" spans="1:20" ht="15.6" x14ac:dyDescent="0.25">
      <c r="A37" s="2">
        <v>26</v>
      </c>
      <c r="B37" s="2" t="s">
        <v>112</v>
      </c>
      <c r="C37" s="2" t="s">
        <v>113</v>
      </c>
      <c r="D37" s="13" t="s">
        <v>114</v>
      </c>
      <c r="E37" s="16" t="s">
        <v>115</v>
      </c>
      <c r="F37" s="12">
        <v>500000</v>
      </c>
      <c r="G37" s="17"/>
      <c r="H37" s="12">
        <v>37246</v>
      </c>
    </row>
    <row r="38" spans="1:20" ht="15.6" x14ac:dyDescent="0.25">
      <c r="A38" s="2">
        <v>57</v>
      </c>
      <c r="B38" s="2" t="s">
        <v>116</v>
      </c>
      <c r="C38" s="2" t="s">
        <v>117</v>
      </c>
      <c r="D38" s="3" t="s">
        <v>118</v>
      </c>
      <c r="E38" s="2" t="s">
        <v>119</v>
      </c>
      <c r="F38" s="2">
        <v>4.7</v>
      </c>
      <c r="G38" s="4"/>
      <c r="H38" s="2">
        <v>5.1749999999999998</v>
      </c>
    </row>
    <row r="39" spans="1:20" ht="14.4" x14ac:dyDescent="0.25">
      <c r="A39" s="2">
        <v>60</v>
      </c>
      <c r="B39" s="2" t="s">
        <v>120</v>
      </c>
      <c r="C39" s="2" t="s">
        <v>121</v>
      </c>
      <c r="D39" s="5" t="s">
        <v>122</v>
      </c>
      <c r="E39" s="2" t="s">
        <v>123</v>
      </c>
      <c r="F39" s="2">
        <v>670</v>
      </c>
      <c r="G39" s="4"/>
      <c r="H39" s="2">
        <v>179.75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EAAE-E25D-4433-913D-6D7283CDA18C}">
  <dimension ref="A1:Y15"/>
  <sheetViews>
    <sheetView zoomScale="85" zoomScaleNormal="85" workbookViewId="0">
      <selection activeCell="S12" sqref="S12"/>
    </sheetView>
  </sheetViews>
  <sheetFormatPr defaultRowHeight="13.8" x14ac:dyDescent="0.25"/>
  <cols>
    <col min="1" max="1" width="11" bestFit="1" customWidth="1"/>
  </cols>
  <sheetData>
    <row r="1" spans="1:25" x14ac:dyDescent="0.25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U1" t="s">
        <v>221</v>
      </c>
      <c r="V1">
        <v>100</v>
      </c>
      <c r="W1">
        <v>50</v>
      </c>
      <c r="X1">
        <v>25</v>
      </c>
      <c r="Y1">
        <v>12.5</v>
      </c>
    </row>
    <row r="2" spans="1:25" x14ac:dyDescent="0.25">
      <c r="B2" t="s">
        <v>203</v>
      </c>
      <c r="C2" t="s">
        <v>76</v>
      </c>
      <c r="D2" t="s">
        <v>205</v>
      </c>
      <c r="E2" t="s">
        <v>184</v>
      </c>
      <c r="F2" t="s">
        <v>185</v>
      </c>
      <c r="G2" t="s">
        <v>77</v>
      </c>
      <c r="H2" t="s">
        <v>186</v>
      </c>
      <c r="I2" t="s">
        <v>84</v>
      </c>
      <c r="J2" t="s">
        <v>212</v>
      </c>
      <c r="L2" t="s">
        <v>215</v>
      </c>
      <c r="M2" t="s">
        <v>196</v>
      </c>
      <c r="N2" t="s">
        <v>194</v>
      </c>
      <c r="O2" t="s">
        <v>192</v>
      </c>
      <c r="P2" t="s">
        <v>190</v>
      </c>
      <c r="Q2" t="s">
        <v>188</v>
      </c>
      <c r="R2" t="s">
        <v>187</v>
      </c>
      <c r="S2" t="s">
        <v>199</v>
      </c>
    </row>
    <row r="3" spans="1:25" x14ac:dyDescent="0.25">
      <c r="B3" t="s">
        <v>202</v>
      </c>
      <c r="C3" t="s">
        <v>204</v>
      </c>
      <c r="D3" t="s">
        <v>206</v>
      </c>
      <c r="E3" t="s">
        <v>207</v>
      </c>
      <c r="F3" t="s">
        <v>208</v>
      </c>
      <c r="G3" t="s">
        <v>209</v>
      </c>
      <c r="H3" t="s">
        <v>210</v>
      </c>
      <c r="I3" t="s">
        <v>211</v>
      </c>
      <c r="J3" t="s">
        <v>213</v>
      </c>
      <c r="L3" t="s">
        <v>214</v>
      </c>
      <c r="M3" t="s">
        <v>197</v>
      </c>
      <c r="N3" t="s">
        <v>195</v>
      </c>
      <c r="O3" t="s">
        <v>193</v>
      </c>
      <c r="P3" t="s">
        <v>191</v>
      </c>
      <c r="Q3" t="s">
        <v>189</v>
      </c>
      <c r="R3" t="s">
        <v>198</v>
      </c>
      <c r="S3" t="s">
        <v>200</v>
      </c>
    </row>
    <row r="4" spans="1:25" x14ac:dyDescent="0.25">
      <c r="B4" t="s">
        <v>216</v>
      </c>
      <c r="C4" t="s">
        <v>216</v>
      </c>
      <c r="D4" t="s">
        <v>216</v>
      </c>
      <c r="E4" t="s">
        <v>216</v>
      </c>
      <c r="G4" t="s">
        <v>216</v>
      </c>
      <c r="H4" t="s">
        <v>216</v>
      </c>
      <c r="I4" t="s">
        <v>216</v>
      </c>
      <c r="J4" t="s">
        <v>216</v>
      </c>
      <c r="K4" t="s">
        <v>216</v>
      </c>
      <c r="L4" t="s">
        <v>216</v>
      </c>
      <c r="N4" t="s">
        <v>220</v>
      </c>
      <c r="O4" t="s">
        <v>219</v>
      </c>
      <c r="P4" t="s">
        <v>219</v>
      </c>
    </row>
    <row r="5" spans="1:25" x14ac:dyDescent="0.25">
      <c r="B5">
        <v>525</v>
      </c>
      <c r="C5">
        <v>741</v>
      </c>
      <c r="D5">
        <v>158</v>
      </c>
      <c r="E5">
        <v>425</v>
      </c>
      <c r="G5">
        <v>844</v>
      </c>
      <c r="H5">
        <v>484</v>
      </c>
      <c r="I5">
        <v>254</v>
      </c>
      <c r="J5">
        <v>415</v>
      </c>
      <c r="K5">
        <v>715</v>
      </c>
      <c r="L5">
        <v>945</v>
      </c>
    </row>
    <row r="6" spans="1:25" x14ac:dyDescent="0.25">
      <c r="B6">
        <v>844</v>
      </c>
      <c r="C6">
        <v>484</v>
      </c>
      <c r="D6">
        <v>254</v>
      </c>
      <c r="E6">
        <v>415</v>
      </c>
      <c r="G6">
        <v>525</v>
      </c>
      <c r="H6">
        <v>741</v>
      </c>
      <c r="I6">
        <v>158</v>
      </c>
      <c r="J6">
        <v>425</v>
      </c>
      <c r="K6">
        <v>640</v>
      </c>
      <c r="L6">
        <v>341</v>
      </c>
    </row>
    <row r="7" spans="1:25" x14ac:dyDescent="0.25">
      <c r="B7">
        <v>472</v>
      </c>
      <c r="C7">
        <v>138</v>
      </c>
      <c r="D7">
        <v>905</v>
      </c>
      <c r="E7">
        <v>261</v>
      </c>
      <c r="G7">
        <v>784</v>
      </c>
      <c r="H7">
        <v>356</v>
      </c>
      <c r="I7">
        <v>620</v>
      </c>
      <c r="J7">
        <v>847</v>
      </c>
      <c r="K7">
        <v>193</v>
      </c>
      <c r="L7">
        <v>518</v>
      </c>
      <c r="M7">
        <v>306</v>
      </c>
      <c r="N7">
        <v>749</v>
      </c>
      <c r="O7">
        <v>582</v>
      </c>
      <c r="P7">
        <v>914</v>
      </c>
      <c r="S7">
        <v>355</v>
      </c>
      <c r="V7">
        <v>275</v>
      </c>
      <c r="W7">
        <v>631</v>
      </c>
      <c r="X7">
        <v>408</v>
      </c>
      <c r="Y7">
        <v>960</v>
      </c>
    </row>
    <row r="8" spans="1:25" ht="15" x14ac:dyDescent="0.35">
      <c r="B8" s="14"/>
      <c r="E8" s="14"/>
      <c r="F8" s="14"/>
      <c r="G8" s="14"/>
      <c r="H8" s="14"/>
      <c r="I8" s="14"/>
      <c r="J8" s="14"/>
      <c r="K8" s="14"/>
      <c r="L8" s="14"/>
      <c r="M8" s="14"/>
      <c r="N8" s="14"/>
      <c r="U8" s="15"/>
    </row>
    <row r="9" spans="1:25" ht="15" x14ac:dyDescent="0.35">
      <c r="B9" s="14"/>
      <c r="U9" s="15"/>
    </row>
    <row r="10" spans="1:25" ht="15" x14ac:dyDescent="0.35">
      <c r="B10" s="14"/>
      <c r="U10" s="15"/>
    </row>
    <row r="11" spans="1:25" ht="15" x14ac:dyDescent="0.25">
      <c r="B11" s="14"/>
    </row>
    <row r="12" spans="1:25" ht="15" x14ac:dyDescent="0.25">
      <c r="B12" s="14"/>
      <c r="N12" s="14"/>
    </row>
    <row r="13" spans="1:25" ht="15" x14ac:dyDescent="0.25">
      <c r="B13" s="14"/>
      <c r="N13" s="14"/>
    </row>
    <row r="14" spans="1:25" ht="15" x14ac:dyDescent="0.25">
      <c r="B14" s="14"/>
      <c r="N14" s="14"/>
    </row>
    <row r="15" spans="1:25" ht="15" x14ac:dyDescent="0.25">
      <c r="B15" s="14"/>
      <c r="N15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果香</vt:lpstr>
      <vt:lpstr>花香</vt:lpstr>
      <vt:lpstr>异嗅</vt:lpstr>
      <vt:lpstr>训练用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童 夏</cp:lastModifiedBy>
  <dcterms:created xsi:type="dcterms:W3CDTF">2015-06-05T18:19:34Z</dcterms:created>
  <dcterms:modified xsi:type="dcterms:W3CDTF">2026-10-17T10:11:51Z</dcterms:modified>
</cp:coreProperties>
</file>