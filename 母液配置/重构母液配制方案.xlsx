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参数" sheetId="1" state="visible" r:id="rId1"/>
    <sheet xmlns:r="http://schemas.openxmlformats.org/officeDocument/2006/relationships" name="1-母液配制表(体积法)" sheetId="2" state="visible" r:id="rId2"/>
    <sheet xmlns:r="http://schemas.openxmlformats.org/officeDocument/2006/relationships" name="2-添加体积表(μL)" sheetId="3" state="visible" r:id="rId3"/>
    <sheet xmlns:r="http://schemas.openxmlformats.org/officeDocument/2006/relationships" name="3-浓度与溶解度" sheetId="4" state="visible" r:id="rId4"/>
    <sheet xmlns:r="http://schemas.openxmlformats.org/officeDocument/2006/relationships" name="4-操作与保存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"/>
    <numFmt numFmtId="166" formatCode="#,##0.0"/>
    <numFmt numFmtId="167" formatCode="0.0&quot;%&quot;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00"/>
    </font>
    <font>
      <b val="1"/>
      <color rgb="00C00000"/>
    </font>
    <font>
      <i val="1"/>
      <sz val="9"/>
    </font>
    <font/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11" fontId="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1" fontId="0" fillId="6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8" borderId="1" pivotButton="0" quotePrefix="0" xfId="0"/>
    <xf numFmtId="3" fontId="2" fillId="8" borderId="1" applyAlignment="1" pivotButton="0" quotePrefix="0" xfId="0">
      <alignment horizontal="center"/>
    </xf>
    <xf numFmtId="167" fontId="2" fillId="8" borderId="1" applyAlignment="1" pivotButton="0" quotePrefix="0" xfId="0">
      <alignment horizontal="center"/>
    </xf>
    <xf numFmtId="2" fontId="2" fillId="8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</cols>
  <sheetData>
    <row r="1">
      <c r="A1" s="1" t="inlineStr">
        <is>
          <t>参数（可修改，下游自动重算）</t>
        </is>
      </c>
    </row>
    <row r="3">
      <c r="A3" s="2" t="inlineStr">
        <is>
          <t>稀释溶剂</t>
        </is>
      </c>
      <c r="B3" s="3" t="inlineStr">
        <is>
          <t>95% vol 食品级乙醇</t>
        </is>
      </c>
      <c r="C3" t="inlineStr">
        <is>
          <t>★95%乙醇，溶解度远好于52%</t>
        </is>
      </c>
    </row>
    <row r="4">
      <c r="A4" s="2" t="inlineStr">
        <is>
          <t>每份重构酒终体积 V</t>
        </is>
      </c>
      <c r="B4" s="3" t="n">
        <v>20</v>
      </c>
      <c r="C4" t="inlineStr">
        <is>
          <t>mL  ← 20 mL 量级</t>
        </is>
      </c>
    </row>
    <row r="5">
      <c r="A5" s="2" t="inlineStr">
        <is>
          <t>纯品纯度</t>
        </is>
      </c>
      <c r="B5" s="3" t="n">
        <v>0.97</v>
      </c>
      <c r="C5" t="inlineStr">
        <is>
          <t>≥97%</t>
        </is>
      </c>
    </row>
    <row r="6">
      <c r="A6" s="2" t="inlineStr">
        <is>
          <t>最小移液体积</t>
        </is>
      </c>
      <c r="B6" s="3" t="n">
        <v>20</v>
      </c>
      <c r="C6" t="inlineStr">
        <is>
          <t>μL</t>
        </is>
      </c>
    </row>
    <row r="7">
      <c r="A7" s="2" t="inlineStr">
        <is>
          <t>最大移液体积</t>
        </is>
      </c>
      <c r="B7" s="3" t="n">
        <v>2500</v>
      </c>
      <c r="C7" t="inlineStr">
        <is>
          <t>μL</t>
        </is>
      </c>
    </row>
    <row r="8">
      <c r="A8" s="2" t="inlineStr">
        <is>
          <t>设计规模</t>
        </is>
      </c>
      <c r="B8" s="3" t="n">
        <v>64</v>
      </c>
      <c r="C8" t="inlineStr">
        <is>
          <t>满因子 4×4×4</t>
        </is>
      </c>
    </row>
    <row r="9">
      <c r="A9" s="2" t="inlineStr">
        <is>
          <t>每化合物出现次数</t>
        </is>
      </c>
      <c r="B9" s="3" t="n">
        <v>16</v>
      </c>
      <c r="C9" t="inlineStr">
        <is>
          <t>个</t>
        </is>
      </c>
    </row>
    <row r="11">
      <c r="A11" s="2" t="inlineStr">
        <is>
          <t>换算公式</t>
        </is>
      </c>
    </row>
    <row r="12">
      <c r="A12" s="4" t="inlineStr">
        <is>
          <t>母液纯品取用量(μL) = 母液浓度(μg/L) × 母液配制体积(L) ÷ 1000 ÷ 纯度 ÷ 密度(g/mL)</t>
        </is>
      </c>
    </row>
    <row r="13">
      <c r="A13" s="4" t="inlineStr">
        <is>
          <t>工作液：取母液 母液浓度÷工作液浓度 × 工作液配制体积(mL) μL，用95%乙醇定容</t>
        </is>
      </c>
    </row>
    <row r="14">
      <c r="A14" s="4" t="inlineStr">
        <is>
          <t>添加体积(μL) = 目标浓度(μg/L) × 20 mL × 1000 ÷ 所用级别浓度(μg/L)</t>
        </is>
      </c>
    </row>
    <row r="15">
      <c r="A15" s="5" t="inlineStr">
        <is>
          <t>★ ppb 目标值与 Excel「重构分析」一致，只是终体积改成 20 mL，质量为原来的 1/5。</t>
        </is>
      </c>
    </row>
    <row r="16">
      <c r="A16" s="5" t="inlineStr">
        <is>
          <t>★ 本表只给到「添加体积」为止，不含最终酒精度回调 —— 由你另行定容处理。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7" customWidth="1" min="3" max="3"/>
    <col width="9" customWidth="1" min="4" max="4"/>
    <col width="9" customWidth="1" min="5" max="5"/>
    <col width="13" customWidth="1" min="6" max="6"/>
    <col width="8" customWidth="1" min="7" max="7"/>
    <col width="8" customWidth="1" min="8" max="8"/>
    <col width="32" customWidth="1" min="9" max="9"/>
    <col width="12" customWidth="1" min="10" max="10"/>
  </cols>
  <sheetData>
    <row r="1">
      <c r="A1" s="1" t="inlineStr">
        <is>
          <t>母液 / 工作液配制表（20 mL 重构 · 95% 乙醇）</t>
        </is>
      </c>
    </row>
    <row r="2">
      <c r="A2" s="6" t="inlineStr">
        <is>
          <t>黄底格可改（浓度、密度）。疏水酯母液最高 30.0 mg/mL —— 比原 52%乙醇下实测不溶的 100 mg/mL 低 3.3 倍。</t>
        </is>
      </c>
    </row>
    <row r="4">
      <c r="A4" s="7" t="inlineStr">
        <is>
          <t>化合物</t>
        </is>
      </c>
      <c r="B4" s="7" t="inlineStr">
        <is>
          <t>CAS</t>
        </is>
      </c>
      <c r="C4" s="7" t="inlineStr">
        <is>
          <t>logP</t>
        </is>
      </c>
      <c r="D4" s="7" t="inlineStr">
        <is>
          <t>密度ρ</t>
        </is>
      </c>
      <c r="E4" s="7" t="inlineStr">
        <is>
          <t>级别</t>
        </is>
      </c>
      <c r="F4" s="7" t="inlineStr">
        <is>
          <t>浓度
(μg/L)</t>
        </is>
      </c>
      <c r="G4" s="7" t="inlineStr">
        <is>
          <t>配制
(mL)</t>
        </is>
      </c>
      <c r="H4" s="7" t="inlineStr">
        <is>
          <t>瓶子</t>
        </is>
      </c>
      <c r="I4" s="7" t="inlineStr">
        <is>
          <t>★配制操作</t>
        </is>
      </c>
      <c r="J4" s="7" t="inlineStr">
        <is>
          <t>用量
(μL)</t>
        </is>
      </c>
    </row>
    <row r="5">
      <c r="A5" s="8" t="inlineStr">
        <is>
          <t>异戊酸乙酯</t>
        </is>
      </c>
      <c r="B5" s="9" t="inlineStr">
        <is>
          <t>108-64-5</t>
        </is>
      </c>
      <c r="C5" s="10" t="n">
        <v>2</v>
      </c>
      <c r="D5" s="11" t="n">
        <v>0.864</v>
      </c>
      <c r="E5" s="9" t="n"/>
      <c r="F5" s="9" t="n"/>
      <c r="G5" s="9" t="n"/>
      <c r="H5" s="9" t="n"/>
      <c r="I5" s="9" t="n"/>
      <c r="J5" s="9" t="n"/>
    </row>
    <row r="6">
      <c r="E6" s="12" t="inlineStr">
        <is>
          <t>母液</t>
        </is>
      </c>
      <c r="F6" s="13" t="n">
        <v>15000000</v>
      </c>
      <c r="G6" s="14" t="n">
        <v>20</v>
      </c>
      <c r="H6" s="15" t="inlineStr">
        <is>
          <t>20 mL</t>
        </is>
      </c>
      <c r="I6" s="15" t="inlineStr">
        <is>
          <t>取纯品 357961.1 μL + 95%乙醇定容</t>
        </is>
      </c>
      <c r="J6" s="16">
        <f>F6*G6/1000/1000/'0-参数'!$B$5/D5</f>
        <v/>
      </c>
    </row>
    <row r="7">
      <c r="E7" s="17" t="inlineStr">
        <is>
          <t>工作液1</t>
        </is>
      </c>
      <c r="F7" s="18" t="n">
        <v>120000</v>
      </c>
      <c r="G7" s="14" t="n">
        <v>20</v>
      </c>
      <c r="H7" s="15" t="inlineStr">
        <is>
          <t>20 mL</t>
        </is>
      </c>
      <c r="I7" s="15" t="inlineStr">
        <is>
          <t>取母液 2500 μL + 95%乙醇定容</t>
        </is>
      </c>
      <c r="J7" s="19" t="n">
        <v>2500</v>
      </c>
    </row>
    <row r="8">
      <c r="A8" s="8" t="inlineStr">
        <is>
          <t>丁酸乙酯</t>
        </is>
      </c>
      <c r="B8" s="9" t="inlineStr">
        <is>
          <t>105-54-4</t>
        </is>
      </c>
      <c r="C8" s="10" t="n">
        <v>1.8</v>
      </c>
      <c r="D8" s="11" t="n">
        <v>0.874</v>
      </c>
      <c r="E8" s="9" t="n"/>
      <c r="F8" s="9" t="n"/>
      <c r="G8" s="9" t="n"/>
      <c r="H8" s="9" t="n"/>
      <c r="I8" s="9" t="n"/>
      <c r="J8" s="9" t="n"/>
    </row>
    <row r="9">
      <c r="E9" s="12" t="inlineStr">
        <is>
          <t>母液</t>
        </is>
      </c>
      <c r="F9" s="13" t="n">
        <v>60000000</v>
      </c>
      <c r="G9" s="14" t="n">
        <v>20</v>
      </c>
      <c r="H9" s="15" t="inlineStr">
        <is>
          <t>20 mL</t>
        </is>
      </c>
      <c r="I9" s="15" t="inlineStr">
        <is>
          <t>取纯品 1415461.6 μL + 95%乙醇定容</t>
        </is>
      </c>
      <c r="J9" s="16">
        <f>F9*G9/1000/1000/'0-参数'!$B$5/D8</f>
        <v/>
      </c>
    </row>
    <row r="10">
      <c r="E10" s="17" t="inlineStr">
        <is>
          <t>工作液1</t>
        </is>
      </c>
      <c r="F10" s="18" t="n">
        <v>480000</v>
      </c>
      <c r="G10" s="14" t="n">
        <v>20</v>
      </c>
      <c r="H10" s="15" t="inlineStr">
        <is>
          <t>20 mL</t>
        </is>
      </c>
      <c r="I10" s="15" t="inlineStr">
        <is>
          <t>取母液 2500 μL + 95%乙醇定容</t>
        </is>
      </c>
      <c r="J10" s="19" t="n">
        <v>2500</v>
      </c>
    </row>
    <row r="11">
      <c r="A11" s="8" t="inlineStr">
        <is>
          <t>乙酸乙酯</t>
        </is>
      </c>
      <c r="B11" s="9" t="inlineStr">
        <is>
          <t>141-78-6</t>
        </is>
      </c>
      <c r="C11" s="10" t="n">
        <v>-0.3</v>
      </c>
      <c r="D11" s="11" t="n">
        <v>0.9</v>
      </c>
      <c r="E11" s="9" t="n"/>
      <c r="F11" s="9" t="n"/>
      <c r="G11" s="9" t="n"/>
      <c r="H11" s="9" t="n"/>
      <c r="I11" s="9" t="n"/>
      <c r="J11" s="9" t="n"/>
    </row>
    <row r="12">
      <c r="E12" s="12" t="inlineStr">
        <is>
          <t>母液</t>
        </is>
      </c>
      <c r="F12" s="13" t="n">
        <v>400000000</v>
      </c>
      <c r="G12" s="14" t="n">
        <v>20</v>
      </c>
      <c r="H12" s="15" t="inlineStr">
        <is>
          <t>20 mL</t>
        </is>
      </c>
      <c r="I12" s="15" t="inlineStr">
        <is>
          <t>取纯品 9163803.0 μL + 95%乙醇定容</t>
        </is>
      </c>
      <c r="J12" s="16">
        <f>F12*G12/1000/1000/'0-参数'!$B$5/D11</f>
        <v/>
      </c>
    </row>
    <row r="13">
      <c r="A13" s="8" t="inlineStr">
        <is>
          <t>辛酸乙酯</t>
        </is>
      </c>
      <c r="B13" s="9" t="inlineStr">
        <is>
          <t>106-32-1</t>
        </is>
      </c>
      <c r="C13" s="20" t="n">
        <v>3.8</v>
      </c>
      <c r="D13" s="11" t="n">
        <v>0.867</v>
      </c>
      <c r="E13" s="9" t="n"/>
      <c r="F13" s="9" t="n"/>
      <c r="G13" s="9" t="n"/>
      <c r="H13" s="9" t="n"/>
      <c r="I13" s="9" t="n"/>
      <c r="J13" s="9" t="n"/>
    </row>
    <row r="14">
      <c r="E14" s="12" t="inlineStr">
        <is>
          <t>母液</t>
        </is>
      </c>
      <c r="F14" s="13" t="n">
        <v>3000000</v>
      </c>
      <c r="G14" s="21" t="n">
        <v>100</v>
      </c>
      <c r="H14" s="15" t="inlineStr">
        <is>
          <t>100 mL</t>
        </is>
      </c>
      <c r="I14" s="15" t="inlineStr">
        <is>
          <t>取纯品 356722.4 μL + 95%乙醇定容</t>
        </is>
      </c>
      <c r="J14" s="16">
        <f>F14*G14/1000/1000/'0-参数'!$B$5/D13</f>
        <v/>
      </c>
    </row>
    <row r="15">
      <c r="A15" s="8" t="inlineStr">
        <is>
          <t>戊酸乙酯</t>
        </is>
      </c>
      <c r="B15" s="9" t="inlineStr">
        <is>
          <t>539-82-2</t>
        </is>
      </c>
      <c r="C15" s="20" t="n">
        <v>2.9</v>
      </c>
      <c r="D15" s="11" t="n">
        <v>0.873</v>
      </c>
      <c r="E15" s="9" t="n"/>
      <c r="F15" s="9" t="n"/>
      <c r="G15" s="9" t="n"/>
      <c r="H15" s="9" t="n"/>
      <c r="I15" s="9" t="n"/>
      <c r="J15" s="9" t="n"/>
    </row>
    <row r="16">
      <c r="E16" s="12" t="inlineStr">
        <is>
          <t>母液</t>
        </is>
      </c>
      <c r="F16" s="13" t="n">
        <v>30000000</v>
      </c>
      <c r="G16" s="14" t="n">
        <v>20</v>
      </c>
      <c r="H16" s="15" t="inlineStr">
        <is>
          <t>20 mL</t>
        </is>
      </c>
      <c r="I16" s="15" t="inlineStr">
        <is>
          <t>取纯品 708541.5 μL + 95%乙醇定容</t>
        </is>
      </c>
      <c r="J16" s="16">
        <f>F16*G16/1000/1000/'0-参数'!$B$5/D15</f>
        <v/>
      </c>
    </row>
    <row r="17">
      <c r="E17" s="17" t="inlineStr">
        <is>
          <t>工作液1</t>
        </is>
      </c>
      <c r="F17" s="18" t="n">
        <v>240000</v>
      </c>
      <c r="G17" s="21" t="n">
        <v>100</v>
      </c>
      <c r="H17" s="15" t="inlineStr">
        <is>
          <t>100 mL</t>
        </is>
      </c>
      <c r="I17" s="15" t="inlineStr">
        <is>
          <t>取母液 12500 μL + 95%乙醇定容</t>
        </is>
      </c>
      <c r="J17" s="19" t="n">
        <v>12500</v>
      </c>
    </row>
    <row r="18">
      <c r="A18" s="8" t="inlineStr">
        <is>
          <t>庚酸乙酯</t>
        </is>
      </c>
      <c r="B18" s="9" t="inlineStr">
        <is>
          <t>106-30-9</t>
        </is>
      </c>
      <c r="C18" s="20" t="n">
        <v>3.6</v>
      </c>
      <c r="D18" s="11" t="n">
        <v>0.87</v>
      </c>
      <c r="E18" s="9" t="n"/>
      <c r="F18" s="9" t="n"/>
      <c r="G18" s="9" t="n"/>
      <c r="H18" s="9" t="n"/>
      <c r="I18" s="9" t="n"/>
      <c r="J18" s="9" t="n"/>
    </row>
    <row r="19">
      <c r="E19" s="12" t="inlineStr">
        <is>
          <t>母液</t>
        </is>
      </c>
      <c r="F19" s="13" t="n">
        <v>8000000</v>
      </c>
      <c r="G19" s="14" t="n">
        <v>20</v>
      </c>
      <c r="H19" s="15" t="inlineStr">
        <is>
          <t>20 mL</t>
        </is>
      </c>
      <c r="I19" s="15" t="inlineStr">
        <is>
          <t>取纯品 189595.9 μL + 95%乙醇定容</t>
        </is>
      </c>
      <c r="J19" s="16">
        <f>F19*G19/1000/1000/'0-参数'!$B$5/D18</f>
        <v/>
      </c>
    </row>
    <row r="20">
      <c r="A20" s="8" t="inlineStr">
        <is>
          <t>己酸异戊脂</t>
        </is>
      </c>
      <c r="B20" s="9" t="inlineStr">
        <is>
          <t>2198-61-0</t>
        </is>
      </c>
      <c r="C20" s="20" t="n">
        <v>3.9</v>
      </c>
      <c r="D20" s="11" t="n">
        <v>0.861</v>
      </c>
      <c r="E20" s="9" t="n"/>
      <c r="F20" s="9" t="n"/>
      <c r="G20" s="9" t="n"/>
      <c r="H20" s="9" t="n"/>
      <c r="I20" s="9" t="n"/>
      <c r="J20" s="9" t="n"/>
    </row>
    <row r="21">
      <c r="E21" s="12" t="inlineStr">
        <is>
          <t>母液</t>
        </is>
      </c>
      <c r="F21" s="13" t="n">
        <v>30000000</v>
      </c>
      <c r="G21" s="14" t="n">
        <v>20</v>
      </c>
      <c r="H21" s="15" t="inlineStr">
        <is>
          <t>20 mL</t>
        </is>
      </c>
      <c r="I21" s="15" t="inlineStr">
        <is>
          <t>取纯品 718416.6 μL + 95%乙醇定容</t>
        </is>
      </c>
      <c r="J21" s="16">
        <f>F21*G21/1000/1000/'0-参数'!$B$5/D20</f>
        <v/>
      </c>
    </row>
    <row r="22">
      <c r="E22" s="17" t="inlineStr">
        <is>
          <t>工作液1</t>
        </is>
      </c>
      <c r="F22" s="18" t="n">
        <v>240000</v>
      </c>
      <c r="G22" s="14" t="n">
        <v>20</v>
      </c>
      <c r="H22" s="15" t="inlineStr">
        <is>
          <t>20 mL</t>
        </is>
      </c>
      <c r="I22" s="15" t="inlineStr">
        <is>
          <t>取母液 2500 μL + 95%乙醇定容</t>
        </is>
      </c>
      <c r="J22" s="19" t="n">
        <v>2500</v>
      </c>
    </row>
    <row r="23">
      <c r="A23" s="8" t="inlineStr">
        <is>
          <t>乙酸异戊酯</t>
        </is>
      </c>
      <c r="B23" s="9" t="inlineStr">
        <is>
          <t>123-92-2</t>
        </is>
      </c>
      <c r="C23" s="20" t="n">
        <v>2.8</v>
      </c>
      <c r="D23" s="11" t="n">
        <v>0.87</v>
      </c>
      <c r="E23" s="9" t="n"/>
      <c r="F23" s="9" t="n"/>
      <c r="G23" s="9" t="n"/>
      <c r="H23" s="9" t="n"/>
      <c r="I23" s="9" t="n"/>
      <c r="J23" s="9" t="n"/>
    </row>
    <row r="24">
      <c r="E24" s="12" t="inlineStr">
        <is>
          <t>母液</t>
        </is>
      </c>
      <c r="F24" s="13" t="n">
        <v>30000000</v>
      </c>
      <c r="G24" s="14" t="n">
        <v>20</v>
      </c>
      <c r="H24" s="15" t="inlineStr">
        <is>
          <t>20 mL</t>
        </is>
      </c>
      <c r="I24" s="15" t="inlineStr">
        <is>
          <t>取纯品 710984.7 μL + 95%乙醇定容</t>
        </is>
      </c>
      <c r="J24" s="16">
        <f>F24*G24/1000/1000/'0-参数'!$B$5/D23</f>
        <v/>
      </c>
    </row>
    <row r="25">
      <c r="E25" s="17" t="inlineStr">
        <is>
          <t>工作液1</t>
        </is>
      </c>
      <c r="F25" s="18" t="n">
        <v>240000</v>
      </c>
      <c r="G25" s="21" t="n">
        <v>100</v>
      </c>
      <c r="H25" s="15" t="inlineStr">
        <is>
          <t>100 mL</t>
        </is>
      </c>
      <c r="I25" s="15" t="inlineStr">
        <is>
          <t>取母液 12500 μL + 95%乙醇定容</t>
        </is>
      </c>
      <c r="J25" s="19" t="n">
        <v>12500</v>
      </c>
    </row>
    <row r="26">
      <c r="A26" s="8" t="inlineStr">
        <is>
          <t>乙醛二乙缩醛</t>
        </is>
      </c>
      <c r="B26" s="9" t="inlineStr">
        <is>
          <t>105-57-7</t>
        </is>
      </c>
      <c r="C26" s="10" t="n">
        <v>1.1</v>
      </c>
      <c r="D26" s="11" t="n">
        <v>0.827</v>
      </c>
      <c r="E26" s="9" t="n"/>
      <c r="F26" s="9" t="n"/>
      <c r="G26" s="9" t="n"/>
      <c r="H26" s="9" t="n"/>
      <c r="I26" s="9" t="n"/>
      <c r="J26" s="9" t="n"/>
    </row>
    <row r="27">
      <c r="E27" s="12" t="inlineStr">
        <is>
          <t>母液</t>
        </is>
      </c>
      <c r="F27" s="13" t="n">
        <v>20000000</v>
      </c>
      <c r="G27" s="14" t="n">
        <v>20</v>
      </c>
      <c r="H27" s="15" t="inlineStr">
        <is>
          <t>20 mL</t>
        </is>
      </c>
      <c r="I27" s="15" t="inlineStr">
        <is>
          <t>取纯品 498635.0 μL + 95%乙醇定容</t>
        </is>
      </c>
      <c r="J27" s="16">
        <f>F27*G27/1000/1000/'0-参数'!$B$5/D26</f>
        <v/>
      </c>
    </row>
    <row r="28">
      <c r="A28" s="8" t="inlineStr">
        <is>
          <t>异丁酸乙酯</t>
        </is>
      </c>
      <c r="B28" s="9" t="inlineStr">
        <is>
          <t>97-62-1</t>
        </is>
      </c>
      <c r="C28" s="10" t="n">
        <v>2</v>
      </c>
      <c r="D28" s="11" t="n">
        <v>0.865</v>
      </c>
      <c r="E28" s="9" t="n"/>
      <c r="F28" s="9" t="n"/>
      <c r="G28" s="9" t="n"/>
      <c r="H28" s="9" t="n"/>
      <c r="I28" s="9" t="n"/>
      <c r="J28" s="9" t="n"/>
    </row>
    <row r="29">
      <c r="E29" s="12" t="inlineStr">
        <is>
          <t>母液</t>
        </is>
      </c>
      <c r="F29" s="13" t="n">
        <v>30000000</v>
      </c>
      <c r="G29" s="14" t="n">
        <v>20</v>
      </c>
      <c r="H29" s="15" t="inlineStr">
        <is>
          <t>20 mL</t>
        </is>
      </c>
      <c r="I29" s="15" t="inlineStr">
        <is>
          <t>取纯品 715094.5 μL + 95%乙醇定容</t>
        </is>
      </c>
      <c r="J29" s="16">
        <f>F29*G29/1000/1000/'0-参数'!$B$5/D28</f>
        <v/>
      </c>
    </row>
    <row r="30">
      <c r="E30" s="17" t="inlineStr">
        <is>
          <t>工作液1</t>
        </is>
      </c>
      <c r="F30" s="18" t="n">
        <v>240000</v>
      </c>
      <c r="G30" s="14" t="n">
        <v>20</v>
      </c>
      <c r="H30" s="15" t="inlineStr">
        <is>
          <t>20 mL</t>
        </is>
      </c>
      <c r="I30" s="15" t="inlineStr">
        <is>
          <t>取母液 2500 μL + 95%乙醇定容</t>
        </is>
      </c>
      <c r="J30" s="19" t="n">
        <v>2500</v>
      </c>
    </row>
    <row r="31">
      <c r="A31" s="8" t="inlineStr">
        <is>
          <t>癸酸乙酯</t>
        </is>
      </c>
      <c r="B31" s="9" t="inlineStr">
        <is>
          <t>110-38-3</t>
        </is>
      </c>
      <c r="C31" s="20" t="n">
        <v>4.4</v>
      </c>
      <c r="D31" s="11" t="n">
        <v>0.866</v>
      </c>
      <c r="E31" s="9" t="n"/>
      <c r="F31" s="9" t="n"/>
      <c r="G31" s="9" t="n"/>
      <c r="H31" s="9" t="n"/>
      <c r="I31" s="9" t="n"/>
      <c r="J31" s="9" t="n"/>
    </row>
    <row r="32">
      <c r="E32" s="12" t="inlineStr">
        <is>
          <t>母液</t>
        </is>
      </c>
      <c r="F32" s="13" t="n">
        <v>2000000</v>
      </c>
      <c r="G32" s="14" t="n">
        <v>20</v>
      </c>
      <c r="H32" s="15" t="inlineStr">
        <is>
          <t>20 mL</t>
        </is>
      </c>
      <c r="I32" s="15" t="inlineStr">
        <is>
          <t>取纯品 47617.9 μL + 95%乙醇定容</t>
        </is>
      </c>
      <c r="J32" s="16">
        <f>F32*G32/1000/1000/'0-参数'!$B$5/D31</f>
        <v/>
      </c>
    </row>
    <row r="33">
      <c r="A33" s="8" t="inlineStr">
        <is>
          <t>己酸己酯</t>
        </is>
      </c>
      <c r="B33" s="9" t="inlineStr">
        <is>
          <t>123-49-9</t>
        </is>
      </c>
      <c r="C33" s="20" t="n">
        <v>4.3</v>
      </c>
      <c r="D33" s="11" t="n">
        <v>0.859</v>
      </c>
      <c r="E33" s="9" t="n"/>
      <c r="F33" s="9" t="n"/>
      <c r="G33" s="9" t="n"/>
      <c r="H33" s="9" t="n"/>
      <c r="I33" s="9" t="n"/>
      <c r="J33" s="9" t="n"/>
    </row>
    <row r="34">
      <c r="E34" s="12" t="inlineStr">
        <is>
          <t>母液</t>
        </is>
      </c>
      <c r="F34" s="13" t="n">
        <v>30000000</v>
      </c>
      <c r="G34" s="14" t="n">
        <v>20</v>
      </c>
      <c r="H34" s="15" t="inlineStr">
        <is>
          <t>20 mL</t>
        </is>
      </c>
      <c r="I34" s="15" t="inlineStr">
        <is>
          <t>取纯品 720089.3 μL + 95%乙醇定容</t>
        </is>
      </c>
      <c r="J34" s="16">
        <f>F34*G34/1000/1000/'0-参数'!$B$5/D33</f>
        <v/>
      </c>
    </row>
    <row r="35">
      <c r="E35" s="17" t="inlineStr">
        <is>
          <t>工作液1</t>
        </is>
      </c>
      <c r="F35" s="18" t="n">
        <v>240000</v>
      </c>
      <c r="G35" s="21" t="n">
        <v>100</v>
      </c>
      <c r="H35" s="15" t="inlineStr">
        <is>
          <t>100 mL</t>
        </is>
      </c>
      <c r="I35" s="15" t="inlineStr">
        <is>
          <t>取母液 12500 μL + 95%乙醇定容</t>
        </is>
      </c>
      <c r="J35" s="19" t="n">
        <v>12500</v>
      </c>
    </row>
    <row r="36">
      <c r="A36" s="8" t="inlineStr">
        <is>
          <t>苯乙酸乙酯</t>
        </is>
      </c>
      <c r="B36" s="9" t="inlineStr">
        <is>
          <t>101-97-3</t>
        </is>
      </c>
      <c r="C36" s="10" t="n">
        <v>2.5</v>
      </c>
      <c r="D36" s="11" t="n">
        <v>1.03</v>
      </c>
      <c r="E36" s="9" t="n"/>
      <c r="F36" s="9" t="n"/>
      <c r="G36" s="9" t="n"/>
      <c r="H36" s="9" t="n"/>
      <c r="I36" s="9" t="n"/>
      <c r="J36" s="9" t="n"/>
    </row>
    <row r="37">
      <c r="E37" s="12" t="inlineStr">
        <is>
          <t>母液</t>
        </is>
      </c>
      <c r="F37" s="13" t="n">
        <v>60000000</v>
      </c>
      <c r="G37" s="14" t="n">
        <v>20</v>
      </c>
      <c r="H37" s="15" t="inlineStr">
        <is>
          <t>20 mL</t>
        </is>
      </c>
      <c r="I37" s="15" t="inlineStr">
        <is>
          <t>取纯品 1201081.0 μL + 95%乙醇定容</t>
        </is>
      </c>
      <c r="J37" s="16">
        <f>F37*G37/1000/1000/'0-参数'!$B$5/D36</f>
        <v/>
      </c>
    </row>
    <row r="38">
      <c r="E38" s="17" t="inlineStr">
        <is>
          <t>工作液1</t>
        </is>
      </c>
      <c r="F38" s="18" t="n">
        <v>480000</v>
      </c>
      <c r="G38" s="14" t="n">
        <v>20</v>
      </c>
      <c r="H38" s="15" t="inlineStr">
        <is>
          <t>20 mL</t>
        </is>
      </c>
      <c r="I38" s="15" t="inlineStr">
        <is>
          <t>取母液 2500 μL + 95%乙醇定容</t>
        </is>
      </c>
      <c r="J38" s="19" t="n">
        <v>2500</v>
      </c>
    </row>
    <row r="39">
      <c r="A39" s="8" t="inlineStr">
        <is>
          <t>1-丁醇</t>
        </is>
      </c>
      <c r="B39" s="9" t="inlineStr">
        <is>
          <t>71-36-3</t>
        </is>
      </c>
      <c r="C39" s="10" t="n">
        <v>2</v>
      </c>
      <c r="D39" s="11" t="n">
        <v>0.8100000000000001</v>
      </c>
      <c r="E39" s="9" t="n"/>
      <c r="F39" s="9" t="n"/>
      <c r="G39" s="9" t="n"/>
      <c r="H39" s="9" t="n"/>
      <c r="I39" s="9" t="n"/>
      <c r="J39" s="9" t="n"/>
    </row>
    <row r="40">
      <c r="E40" s="12" t="inlineStr">
        <is>
          <t>母液</t>
        </is>
      </c>
      <c r="F40" s="13" t="n">
        <v>150000000</v>
      </c>
      <c r="G40" s="14" t="n">
        <v>20</v>
      </c>
      <c r="H40" s="15" t="inlineStr">
        <is>
          <t>20 mL</t>
        </is>
      </c>
      <c r="I40" s="15" t="inlineStr">
        <is>
          <t>取纯品 3818251.2 μL + 95%乙醇定容</t>
        </is>
      </c>
      <c r="J40" s="16">
        <f>F40*G40/1000/1000/'0-参数'!$B$5/D39</f>
        <v/>
      </c>
    </row>
    <row r="41">
      <c r="E41" s="17" t="inlineStr">
        <is>
          <t>工作液1</t>
        </is>
      </c>
      <c r="F41" s="18" t="n">
        <v>1200000</v>
      </c>
      <c r="G41" s="21" t="n">
        <v>100</v>
      </c>
      <c r="H41" s="15" t="inlineStr">
        <is>
          <t>100 mL</t>
        </is>
      </c>
      <c r="I41" s="15" t="inlineStr">
        <is>
          <t>取母液 12500 μL + 95%乙醇定容</t>
        </is>
      </c>
      <c r="J41" s="19" t="n">
        <v>12500</v>
      </c>
    </row>
    <row r="42">
      <c r="A42" s="8" t="inlineStr">
        <is>
          <t>1-己醇</t>
        </is>
      </c>
      <c r="B42" s="9" t="inlineStr">
        <is>
          <t>111-27-3</t>
        </is>
      </c>
      <c r="C42" s="10" t="n">
        <v>2</v>
      </c>
      <c r="D42" s="11" t="n">
        <v>0.82</v>
      </c>
      <c r="E42" s="9" t="n"/>
      <c r="F42" s="9" t="n"/>
      <c r="G42" s="9" t="n"/>
      <c r="H42" s="9" t="n"/>
      <c r="I42" s="9" t="n"/>
      <c r="J42" s="9" t="n"/>
    </row>
    <row r="43">
      <c r="E43" s="12" t="inlineStr">
        <is>
          <t>母液</t>
        </is>
      </c>
      <c r="F43" s="13" t="n">
        <v>15000000</v>
      </c>
      <c r="G43" s="14" t="n">
        <v>20</v>
      </c>
      <c r="H43" s="15" t="inlineStr">
        <is>
          <t>20 mL</t>
        </is>
      </c>
      <c r="I43" s="15" t="inlineStr">
        <is>
          <t>取纯品 377168.7 μL + 95%乙醇定容</t>
        </is>
      </c>
      <c r="J43" s="16">
        <f>F43*G43/1000/1000/'0-参数'!$B$5/D42</f>
        <v/>
      </c>
    </row>
    <row r="44">
      <c r="A44" s="8" t="inlineStr">
        <is>
          <t>壬酸乙酯</t>
        </is>
      </c>
      <c r="B44" s="9" t="inlineStr">
        <is>
          <t>123-29-5</t>
        </is>
      </c>
      <c r="C44" s="20" t="n">
        <v>3.7</v>
      </c>
      <c r="D44" s="11" t="n">
        <v>0.865</v>
      </c>
      <c r="E44" s="9" t="n"/>
      <c r="F44" s="9" t="n"/>
      <c r="G44" s="9" t="n"/>
      <c r="H44" s="9" t="n"/>
      <c r="I44" s="9" t="n"/>
      <c r="J44" s="9" t="n"/>
    </row>
    <row r="45">
      <c r="E45" s="12" t="inlineStr">
        <is>
          <t>母液</t>
        </is>
      </c>
      <c r="F45" s="13" t="n">
        <v>30000000</v>
      </c>
      <c r="G45" s="14" t="n">
        <v>20</v>
      </c>
      <c r="H45" s="15" t="inlineStr">
        <is>
          <t>20 mL</t>
        </is>
      </c>
      <c r="I45" s="15" t="inlineStr">
        <is>
          <t>取纯品 715094.5 μL + 95%乙醇定容</t>
        </is>
      </c>
      <c r="J45" s="16">
        <f>F45*G45/1000/1000/'0-参数'!$B$5/D44</f>
        <v/>
      </c>
    </row>
    <row r="46">
      <c r="E46" s="17" t="inlineStr">
        <is>
          <t>工作液1</t>
        </is>
      </c>
      <c r="F46" s="18" t="n">
        <v>240000</v>
      </c>
      <c r="G46" s="14" t="n">
        <v>20</v>
      </c>
      <c r="H46" s="15" t="inlineStr">
        <is>
          <t>20 mL</t>
        </is>
      </c>
      <c r="I46" s="15" t="inlineStr">
        <is>
          <t>取母液 2500 μL + 95%乙醇定容</t>
        </is>
      </c>
      <c r="J46" s="19" t="n">
        <v>2500</v>
      </c>
    </row>
    <row r="47">
      <c r="A47" s="8" t="inlineStr">
        <is>
          <t>己酸</t>
        </is>
      </c>
      <c r="B47" s="9" t="inlineStr">
        <is>
          <t>142-62-1</t>
        </is>
      </c>
      <c r="C47" s="10" t="n">
        <v>1.9</v>
      </c>
      <c r="D47" s="11" t="n">
        <v>0.9295</v>
      </c>
      <c r="E47" s="9" t="n"/>
      <c r="F47" s="9" t="n"/>
      <c r="G47" s="9" t="n"/>
      <c r="H47" s="9" t="n"/>
      <c r="I47" s="9" t="n"/>
      <c r="J47" s="9" t="n"/>
    </row>
    <row r="48">
      <c r="E48" s="12" t="inlineStr">
        <is>
          <t>母液</t>
        </is>
      </c>
      <c r="F48" s="13" t="n">
        <v>50000000</v>
      </c>
      <c r="G48" s="14" t="n">
        <v>20</v>
      </c>
      <c r="H48" s="15" t="inlineStr">
        <is>
          <t>20 mL</t>
        </is>
      </c>
      <c r="I48" s="15" t="inlineStr">
        <is>
          <t>取纯品 1109120.9 μL + 95%乙醇定容</t>
        </is>
      </c>
      <c r="J48" s="16">
        <f>F48*G48/1000/1000/'0-参数'!$B$5/D47</f>
        <v/>
      </c>
    </row>
    <row r="49">
      <c r="A49" s="8" t="inlineStr">
        <is>
          <t>异丁酸</t>
        </is>
      </c>
      <c r="B49" s="9" t="inlineStr">
        <is>
          <t>79-31-2</t>
        </is>
      </c>
      <c r="C49" s="10" t="n">
        <v>2</v>
      </c>
      <c r="D49" s="11" t="n">
        <v>0.949</v>
      </c>
      <c r="E49" s="9" t="n"/>
      <c r="F49" s="9" t="n"/>
      <c r="G49" s="9" t="n"/>
      <c r="H49" s="9" t="n"/>
      <c r="I49" s="9" t="n"/>
      <c r="J49" s="9" t="n"/>
    </row>
    <row r="50">
      <c r="E50" s="12" t="inlineStr">
        <is>
          <t>母液</t>
        </is>
      </c>
      <c r="F50" s="13" t="n">
        <v>3000000</v>
      </c>
      <c r="G50" s="14" t="n">
        <v>20</v>
      </c>
      <c r="H50" s="15" t="inlineStr">
        <is>
          <t>20 mL</t>
        </is>
      </c>
      <c r="I50" s="15" t="inlineStr">
        <is>
          <t>取纯品 65179.8 μL + 95%乙醇定容</t>
        </is>
      </c>
      <c r="J50" s="16">
        <f>F50*G50/1000/1000/'0-参数'!$B$5/D49</f>
        <v/>
      </c>
    </row>
    <row r="51">
      <c r="A51" s="8" t="inlineStr">
        <is>
          <t>戊酸</t>
        </is>
      </c>
      <c r="B51" s="9" t="inlineStr">
        <is>
          <t>109-52-4</t>
        </is>
      </c>
      <c r="C51" s="10" t="n">
        <v>2</v>
      </c>
      <c r="D51" s="11" t="n">
        <v>0.9399999999999999</v>
      </c>
      <c r="E51" s="9" t="n"/>
      <c r="F51" s="9" t="n"/>
      <c r="G51" s="9" t="n"/>
      <c r="H51" s="9" t="n"/>
      <c r="I51" s="9" t="n"/>
      <c r="J51" s="9" t="n"/>
    </row>
    <row r="52">
      <c r="E52" s="12" t="inlineStr">
        <is>
          <t>母液</t>
        </is>
      </c>
      <c r="F52" s="13" t="n">
        <v>60000000</v>
      </c>
      <c r="G52" s="14" t="n">
        <v>20</v>
      </c>
      <c r="H52" s="15" t="inlineStr">
        <is>
          <t>20 mL</t>
        </is>
      </c>
      <c r="I52" s="15" t="inlineStr">
        <is>
          <t>取纯品 1316078.1 μL + 95%乙醇定容</t>
        </is>
      </c>
      <c r="J52" s="16">
        <f>F52*G52/1000/1000/'0-参数'!$B$5/D51</f>
        <v/>
      </c>
    </row>
    <row r="53">
      <c r="E53" s="17" t="inlineStr">
        <is>
          <t>工作液1</t>
        </is>
      </c>
      <c r="F53" s="18" t="n">
        <v>480000</v>
      </c>
      <c r="G53" s="21" t="n">
        <v>100</v>
      </c>
      <c r="H53" s="15" t="inlineStr">
        <is>
          <t>100 mL</t>
        </is>
      </c>
      <c r="I53" s="15" t="inlineStr">
        <is>
          <t>取母液 12500 μL + 95%乙醇定容</t>
        </is>
      </c>
      <c r="J53" s="19" t="n">
        <v>12500</v>
      </c>
    </row>
    <row r="54">
      <c r="A54" s="8" t="inlineStr">
        <is>
          <t>辛酸</t>
        </is>
      </c>
      <c r="B54" s="9" t="inlineStr">
        <is>
          <t>124-07-2</t>
        </is>
      </c>
      <c r="C54" s="20" t="n">
        <v>3</v>
      </c>
      <c r="D54" s="11" t="n">
        <v>0.91</v>
      </c>
      <c r="E54" s="9" t="n"/>
      <c r="F54" s="9" t="n"/>
      <c r="G54" s="9" t="n"/>
      <c r="H54" s="9" t="n"/>
      <c r="I54" s="9" t="n"/>
      <c r="J54" s="9" t="n"/>
    </row>
    <row r="55">
      <c r="E55" s="12" t="inlineStr">
        <is>
          <t>母液</t>
        </is>
      </c>
      <c r="F55" s="13" t="n">
        <v>4000000</v>
      </c>
      <c r="G55" s="21" t="n">
        <v>100</v>
      </c>
      <c r="H55" s="15" t="inlineStr">
        <is>
          <t>100 mL</t>
        </is>
      </c>
      <c r="I55" s="15" t="inlineStr">
        <is>
          <t>取纯品 453155.1 μL + 95%乙醇定容</t>
        </is>
      </c>
      <c r="J55" s="16">
        <f>F55*G55/1000/1000/'0-参数'!$B$5/D54</f>
        <v/>
      </c>
    </row>
    <row r="56">
      <c r="A56" s="8" t="inlineStr">
        <is>
          <t>庚酸</t>
        </is>
      </c>
      <c r="B56" s="9" t="inlineStr">
        <is>
          <t>111-14-8</t>
        </is>
      </c>
      <c r="C56" s="10" t="n">
        <v>2</v>
      </c>
      <c r="D56" s="11" t="n">
        <v>0.918</v>
      </c>
      <c r="E56" s="9" t="n"/>
      <c r="F56" s="9" t="n"/>
      <c r="G56" s="9" t="n"/>
      <c r="H56" s="9" t="n"/>
      <c r="I56" s="9" t="n"/>
      <c r="J56" s="9" t="n"/>
    </row>
    <row r="57">
      <c r="E57" s="12" t="inlineStr">
        <is>
          <t>母液</t>
        </is>
      </c>
      <c r="F57" s="13" t="n">
        <v>5000000</v>
      </c>
      <c r="G57" s="14" t="n">
        <v>20</v>
      </c>
      <c r="H57" s="15" t="inlineStr">
        <is>
          <t>20 mL</t>
        </is>
      </c>
      <c r="I57" s="15" t="inlineStr">
        <is>
          <t>取纯品 112301.5 μL + 95%乙醇定容</t>
        </is>
      </c>
      <c r="J57" s="16">
        <f>F57*G57/1000/1000/'0-参数'!$B$5/D56</f>
        <v/>
      </c>
    </row>
    <row r="58">
      <c r="A58" s="8" t="inlineStr">
        <is>
          <t>丁酸</t>
        </is>
      </c>
      <c r="B58" s="9" t="inlineStr">
        <is>
          <t>107-92-6</t>
        </is>
      </c>
      <c r="C58" s="10" t="n">
        <v>2</v>
      </c>
      <c r="D58" s="11" t="n">
        <v>0.959</v>
      </c>
      <c r="E58" s="9" t="n"/>
      <c r="F58" s="9" t="n"/>
      <c r="G58" s="9" t="n"/>
      <c r="H58" s="9" t="n"/>
      <c r="I58" s="9" t="n"/>
      <c r="J58" s="9" t="n"/>
    </row>
    <row r="59">
      <c r="E59" s="12" t="inlineStr">
        <is>
          <t>母液</t>
        </is>
      </c>
      <c r="F59" s="13" t="n">
        <v>15000000</v>
      </c>
      <c r="G59" s="14" t="n">
        <v>20</v>
      </c>
      <c r="H59" s="15" t="inlineStr">
        <is>
          <t>20 mL</t>
        </is>
      </c>
      <c r="I59" s="15" t="inlineStr">
        <is>
          <t>取纯品 322500.9 μL + 95%乙醇定容</t>
        </is>
      </c>
      <c r="J59" s="16">
        <f>F59*G59/1000/1000/'0-参数'!$B$5/D58</f>
        <v/>
      </c>
    </row>
    <row r="60">
      <c r="A60" s="8" t="inlineStr">
        <is>
          <t>乙酸</t>
        </is>
      </c>
      <c r="B60" s="9" t="inlineStr">
        <is>
          <t>64-19-7</t>
        </is>
      </c>
      <c r="C60" s="10" t="n">
        <v>2</v>
      </c>
      <c r="D60" s="11" t="n">
        <v>1.05</v>
      </c>
      <c r="E60" s="9" t="n"/>
      <c r="F60" s="9" t="n"/>
      <c r="G60" s="9" t="n"/>
      <c r="H60" s="9" t="n"/>
      <c r="I60" s="9" t="n"/>
      <c r="J60" s="9" t="n"/>
    </row>
    <row r="61">
      <c r="E61" s="12" t="inlineStr">
        <is>
          <t>母液</t>
        </is>
      </c>
      <c r="F61" s="13" t="n">
        <v>125000000</v>
      </c>
      <c r="G61" s="14" t="n">
        <v>20</v>
      </c>
      <c r="H61" s="15" t="inlineStr">
        <is>
          <t>20 mL</t>
        </is>
      </c>
      <c r="I61" s="15" t="inlineStr">
        <is>
          <t>取纯品 2454590.1 μL + 95%乙醇定容</t>
        </is>
      </c>
      <c r="J61" s="16">
        <f>F61*G61/1000/1000/'0-参数'!$B$5/D60</f>
        <v/>
      </c>
    </row>
    <row r="62">
      <c r="A62" s="8" t="inlineStr">
        <is>
          <t>异戊酸/3-甲基丁酸</t>
        </is>
      </c>
      <c r="B62" s="9" t="inlineStr">
        <is>
          <t>503-74-2</t>
        </is>
      </c>
      <c r="C62" s="10" t="n">
        <v>2</v>
      </c>
      <c r="D62" s="11" t="n">
        <v>0.926</v>
      </c>
      <c r="E62" s="9" t="n"/>
      <c r="F62" s="9" t="n"/>
      <c r="G62" s="9" t="n"/>
      <c r="H62" s="9" t="n"/>
      <c r="I62" s="9" t="n"/>
      <c r="J62" s="9" t="n"/>
    </row>
    <row r="63">
      <c r="E63" s="12" t="inlineStr">
        <is>
          <t>母液</t>
        </is>
      </c>
      <c r="F63" s="13" t="n">
        <v>1500000</v>
      </c>
      <c r="G63" s="14" t="n">
        <v>20</v>
      </c>
      <c r="H63" s="15" t="inlineStr">
        <is>
          <t>20 mL</t>
        </is>
      </c>
      <c r="I63" s="15" t="inlineStr">
        <is>
          <t>取纯品 33399.4 μL + 95%乙醇定容</t>
        </is>
      </c>
      <c r="J63" s="16">
        <f>F63*G63/1000/1000/'0-参数'!$B$5/D62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各基底重构酒 添加体积对照表（终体积 20 mL，μL）</t>
        </is>
      </c>
    </row>
    <row r="3">
      <c r="A3" s="7" t="inlineStr">
        <is>
          <t>化合物</t>
        </is>
      </c>
      <c r="B3" s="7" t="inlineStr">
        <is>
          <t>乳酸乙酯 基底</t>
        </is>
      </c>
      <c r="C3" s="7" t="inlineStr">
        <is>
          <t>己酸丁酯 基底</t>
        </is>
      </c>
      <c r="D3" s="7" t="inlineStr">
        <is>
          <t>棕榈酸乙酯 基底</t>
        </is>
      </c>
      <c r="E3" s="7" t="inlineStr">
        <is>
          <t>丁酸异戊酯 基底</t>
        </is>
      </c>
      <c r="F3" s="7" t="inlineStr">
        <is>
          <t>Cmin ppb</t>
        </is>
      </c>
      <c r="G3" s="7" t="inlineStr">
        <is>
          <t>Cmax ppb</t>
        </is>
      </c>
    </row>
    <row r="4">
      <c r="A4" s="22" t="inlineStr">
        <is>
          <t>异戊酸乙酯</t>
        </is>
      </c>
      <c r="B4" s="23" t="n">
        <v>234.5</v>
      </c>
      <c r="C4" s="24" t="n">
        <v>299</v>
      </c>
      <c r="D4" s="24" t="n">
        <v>150</v>
      </c>
      <c r="E4" s="24" t="n">
        <v>25</v>
      </c>
      <c r="F4" s="25" t="n">
        <v>150</v>
      </c>
      <c r="G4" s="25" t="n">
        <v>176050</v>
      </c>
    </row>
    <row r="5">
      <c r="A5" s="22" t="inlineStr">
        <is>
          <t>丁酸乙酯</t>
        </is>
      </c>
      <c r="B5" s="23" t="n">
        <v>313.5</v>
      </c>
      <c r="C5" s="23" t="n">
        <v>21</v>
      </c>
      <c r="D5" s="24" t="n">
        <v>624</v>
      </c>
      <c r="E5" s="24" t="n">
        <v>100</v>
      </c>
      <c r="F5" s="25" t="n">
        <v>2400</v>
      </c>
      <c r="G5" s="25" t="n">
        <v>940000</v>
      </c>
    </row>
    <row r="6">
      <c r="A6" s="22" t="inlineStr">
        <is>
          <t>乙酸乙酯</t>
        </is>
      </c>
      <c r="B6" s="23" t="n">
        <v>233</v>
      </c>
      <c r="C6" s="23" t="n">
        <v>88</v>
      </c>
      <c r="D6" s="23" t="n">
        <v>29</v>
      </c>
      <c r="E6" s="23" t="n">
        <v>20</v>
      </c>
      <c r="F6" s="25" t="n">
        <v>400000</v>
      </c>
      <c r="G6" s="25" t="n">
        <v>4661800</v>
      </c>
    </row>
    <row r="7">
      <c r="A7" s="22" t="inlineStr">
        <is>
          <t>辛酸乙酯</t>
        </is>
      </c>
      <c r="B7" s="23" t="n">
        <v>1645</v>
      </c>
      <c r="C7" s="23" t="n">
        <v>120</v>
      </c>
      <c r="D7" s="23" t="n">
        <v>24</v>
      </c>
      <c r="E7" s="9" t="inlineStr">
        <is>
          <t>—</t>
        </is>
      </c>
      <c r="F7" s="25" t="n">
        <v>3600</v>
      </c>
      <c r="G7" s="25" t="n">
        <v>247040</v>
      </c>
    </row>
    <row r="8">
      <c r="A8" s="22" t="inlineStr">
        <is>
          <t>戊酸乙酯</t>
        </is>
      </c>
      <c r="B8" s="23" t="n">
        <v>251</v>
      </c>
      <c r="C8" s="24" t="n">
        <v>1015</v>
      </c>
      <c r="D8" s="24" t="n">
        <v>312.5</v>
      </c>
      <c r="E8" s="24" t="n">
        <v>62</v>
      </c>
      <c r="F8" s="25" t="n">
        <v>750</v>
      </c>
      <c r="G8" s="25" t="n">
        <v>376550</v>
      </c>
    </row>
    <row r="9">
      <c r="A9" s="22" t="inlineStr">
        <is>
          <t>庚酸乙酯</t>
        </is>
      </c>
      <c r="B9" s="23" t="n">
        <v>872</v>
      </c>
      <c r="C9" s="23" t="n">
        <v>82</v>
      </c>
      <c r="D9" s="23" t="n">
        <v>29</v>
      </c>
      <c r="E9" s="23" t="n">
        <v>20</v>
      </c>
      <c r="F9" s="25" t="n">
        <v>8000</v>
      </c>
      <c r="G9" s="25" t="n">
        <v>348671</v>
      </c>
    </row>
    <row r="10">
      <c r="A10" s="22" t="inlineStr">
        <is>
          <t>己酸异戊脂</t>
        </is>
      </c>
      <c r="B10" s="23" t="n">
        <v>38</v>
      </c>
      <c r="C10" s="24" t="n">
        <v>200</v>
      </c>
      <c r="D10" s="24" t="n">
        <v>42</v>
      </c>
      <c r="E10" s="9" t="inlineStr">
        <is>
          <t>—</t>
        </is>
      </c>
      <c r="F10" s="25" t="n">
        <v>500</v>
      </c>
      <c r="G10" s="25" t="n">
        <v>57280</v>
      </c>
    </row>
    <row r="11">
      <c r="A11" s="22" t="inlineStr">
        <is>
          <t>乙酸异戊酯</t>
        </is>
      </c>
      <c r="B11" s="23" t="n">
        <v>320.5</v>
      </c>
      <c r="C11" s="24" t="n">
        <v>1125</v>
      </c>
      <c r="D11" s="24" t="n">
        <v>225</v>
      </c>
      <c r="E11" s="24" t="n">
        <v>85</v>
      </c>
      <c r="F11" s="25" t="n">
        <v>1025</v>
      </c>
      <c r="G11" s="25" t="n">
        <v>480980</v>
      </c>
    </row>
    <row r="12">
      <c r="A12" s="22" t="inlineStr">
        <is>
          <t>乙醛二乙缩醛</t>
        </is>
      </c>
      <c r="B12" s="23" t="n">
        <v>784</v>
      </c>
      <c r="C12" s="23" t="n">
        <v>90</v>
      </c>
      <c r="D12" s="23" t="n">
        <v>24</v>
      </c>
      <c r="E12" s="9" t="inlineStr">
        <is>
          <t>—</t>
        </is>
      </c>
      <c r="F12" s="25" t="n">
        <v>24000</v>
      </c>
      <c r="G12" s="25" t="n">
        <v>784300</v>
      </c>
    </row>
    <row r="13">
      <c r="A13" s="22" t="inlineStr">
        <is>
          <t>异丁酸乙酯</t>
        </is>
      </c>
      <c r="B13" s="23" t="n">
        <v>129</v>
      </c>
      <c r="C13" s="24" t="n">
        <v>414</v>
      </c>
      <c r="D13" s="24" t="n">
        <v>146</v>
      </c>
      <c r="E13" s="24" t="n">
        <v>25</v>
      </c>
      <c r="F13" s="25" t="n">
        <v>300</v>
      </c>
      <c r="G13" s="25" t="n">
        <v>193560</v>
      </c>
    </row>
    <row r="14">
      <c r="A14" s="22" t="inlineStr">
        <is>
          <t>癸酸乙酯</t>
        </is>
      </c>
      <c r="B14" s="23" t="n">
        <v>562</v>
      </c>
      <c r="C14" s="23" t="n">
        <v>250</v>
      </c>
      <c r="D14" s="23" t="n">
        <v>75</v>
      </c>
      <c r="E14" s="23" t="n">
        <v>21</v>
      </c>
      <c r="F14" s="25" t="n">
        <v>2117</v>
      </c>
      <c r="G14" s="25" t="n">
        <v>56115</v>
      </c>
    </row>
    <row r="15">
      <c r="A15" s="22" t="inlineStr">
        <is>
          <t>己酸己酯</t>
        </is>
      </c>
      <c r="B15" s="23" t="n">
        <v>130</v>
      </c>
      <c r="C15" s="24" t="n">
        <v>1000</v>
      </c>
      <c r="D15" s="24" t="n">
        <v>784</v>
      </c>
      <c r="E15" s="24" t="n">
        <v>200</v>
      </c>
      <c r="F15" s="25" t="n">
        <v>2400</v>
      </c>
      <c r="G15" s="25" t="n">
        <v>195030</v>
      </c>
    </row>
    <row r="16">
      <c r="A16" s="22" t="inlineStr">
        <is>
          <t>苯乙酸乙酯</t>
        </is>
      </c>
      <c r="B16" s="23" t="n">
        <v>119</v>
      </c>
      <c r="C16" s="24" t="n">
        <v>260.5</v>
      </c>
      <c r="D16" s="24" t="n">
        <v>82</v>
      </c>
      <c r="E16" s="24" t="n">
        <v>42</v>
      </c>
      <c r="F16" s="25" t="n">
        <v>1000</v>
      </c>
      <c r="G16" s="25" t="n">
        <v>357110</v>
      </c>
    </row>
    <row r="17">
      <c r="A17" s="22" t="inlineStr">
        <is>
          <t>1-丁醇</t>
        </is>
      </c>
      <c r="B17" s="23" t="n">
        <v>64</v>
      </c>
      <c r="C17" s="24" t="n">
        <v>2000</v>
      </c>
      <c r="D17" s="24" t="n">
        <v>21</v>
      </c>
      <c r="E17" s="9" t="inlineStr">
        <is>
          <t>—</t>
        </is>
      </c>
      <c r="F17" s="25" t="n">
        <v>1282</v>
      </c>
      <c r="G17" s="25" t="n">
        <v>480980</v>
      </c>
    </row>
    <row r="18">
      <c r="A18" s="22" t="inlineStr">
        <is>
          <t>1-己醇</t>
        </is>
      </c>
      <c r="B18" s="23" t="n">
        <v>497.5</v>
      </c>
      <c r="C18" s="23" t="n">
        <v>85</v>
      </c>
      <c r="D18" s="23" t="n">
        <v>40</v>
      </c>
      <c r="E18" s="23" t="n">
        <v>21</v>
      </c>
      <c r="F18" s="25" t="n">
        <v>16000</v>
      </c>
      <c r="G18" s="25" t="n">
        <v>373000</v>
      </c>
    </row>
    <row r="19">
      <c r="A19" s="22" t="inlineStr">
        <is>
          <t>壬酸乙酯</t>
        </is>
      </c>
      <c r="B19" s="23" t="n">
        <v>79</v>
      </c>
      <c r="C19" s="24" t="n">
        <v>916</v>
      </c>
      <c r="D19" s="24" t="n">
        <v>183.5</v>
      </c>
      <c r="E19" s="24" t="n">
        <v>109</v>
      </c>
      <c r="F19" s="25" t="n">
        <v>1305</v>
      </c>
      <c r="G19" s="25" t="n">
        <v>118700</v>
      </c>
    </row>
    <row r="20">
      <c r="A20" s="22" t="inlineStr">
        <is>
          <t>己酸</t>
        </is>
      </c>
      <c r="B20" s="23" t="n">
        <v>620</v>
      </c>
      <c r="C20" s="23" t="n">
        <v>240</v>
      </c>
      <c r="D20" s="23" t="n">
        <v>52</v>
      </c>
      <c r="E20" s="23" t="n">
        <v>20</v>
      </c>
      <c r="F20" s="25" t="n">
        <v>50000</v>
      </c>
      <c r="G20" s="25" t="n">
        <v>1552320</v>
      </c>
    </row>
    <row r="21">
      <c r="A21" s="22" t="inlineStr">
        <is>
          <t>异丁酸</t>
        </is>
      </c>
      <c r="B21" s="23" t="n">
        <v>820</v>
      </c>
      <c r="C21" s="23" t="n">
        <v>150</v>
      </c>
      <c r="D21" s="23" t="n">
        <v>20</v>
      </c>
      <c r="E21" s="9" t="inlineStr">
        <is>
          <t>—</t>
        </is>
      </c>
      <c r="F21" s="25" t="n">
        <v>3000</v>
      </c>
      <c r="G21" s="25" t="n">
        <v>123135</v>
      </c>
    </row>
    <row r="22">
      <c r="A22" s="22" t="inlineStr">
        <is>
          <t>戊酸</t>
        </is>
      </c>
      <c r="B22" s="23" t="n">
        <v>111</v>
      </c>
      <c r="C22" s="24" t="n">
        <v>1250</v>
      </c>
      <c r="D22" s="24" t="n">
        <v>358.5</v>
      </c>
      <c r="E22" s="24" t="n">
        <v>100</v>
      </c>
      <c r="F22" s="25" t="n">
        <v>2400</v>
      </c>
      <c r="G22" s="25" t="n">
        <v>333536</v>
      </c>
    </row>
    <row r="23">
      <c r="A23" s="22" t="inlineStr">
        <is>
          <t>辛酸</t>
        </is>
      </c>
      <c r="B23" s="23" t="n">
        <v>1670</v>
      </c>
      <c r="C23" s="23" t="n">
        <v>150</v>
      </c>
      <c r="D23" s="23" t="n">
        <v>43</v>
      </c>
      <c r="E23" s="23" t="n">
        <v>24</v>
      </c>
      <c r="F23" s="25" t="n">
        <v>4800</v>
      </c>
      <c r="G23" s="25" t="n">
        <v>333536</v>
      </c>
    </row>
    <row r="24">
      <c r="A24" s="22" t="inlineStr">
        <is>
          <t>庚酸</t>
        </is>
      </c>
      <c r="B24" s="23" t="n">
        <v>491</v>
      </c>
      <c r="C24" s="23" t="n">
        <v>144</v>
      </c>
      <c r="D24" s="23" t="n">
        <v>40</v>
      </c>
      <c r="E24" s="23" t="n">
        <v>22</v>
      </c>
      <c r="F24" s="25" t="n">
        <v>5495</v>
      </c>
      <c r="G24" s="25" t="n">
        <v>122710</v>
      </c>
    </row>
    <row r="25">
      <c r="A25" s="22" t="inlineStr">
        <is>
          <t>丁酸</t>
        </is>
      </c>
      <c r="B25" s="23" t="n">
        <v>734</v>
      </c>
      <c r="C25" s="23" t="n">
        <v>146.5</v>
      </c>
      <c r="D25" s="23" t="n">
        <v>55</v>
      </c>
      <c r="E25" s="23" t="n">
        <v>20</v>
      </c>
      <c r="F25" s="25" t="n">
        <v>15000</v>
      </c>
      <c r="G25" s="25" t="n">
        <v>550200</v>
      </c>
    </row>
    <row r="26">
      <c r="A26" s="22" t="inlineStr">
        <is>
          <t>乙酸</t>
        </is>
      </c>
      <c r="B26" s="23" t="n">
        <v>288</v>
      </c>
      <c r="C26" s="23" t="n">
        <v>192</v>
      </c>
      <c r="D26" s="23" t="n">
        <v>51</v>
      </c>
      <c r="E26" s="23" t="n">
        <v>23</v>
      </c>
      <c r="F26" s="25" t="n">
        <v>143377</v>
      </c>
      <c r="G26" s="25" t="n">
        <v>1800500</v>
      </c>
    </row>
    <row r="27">
      <c r="A27" s="22" t="inlineStr">
        <is>
          <t>异戊酸/3-甲基丁酸</t>
        </is>
      </c>
      <c r="B27" s="23" t="n">
        <v>430.5</v>
      </c>
      <c r="C27" s="23" t="n">
        <v>160</v>
      </c>
      <c r="D27" s="23" t="n">
        <v>77</v>
      </c>
      <c r="E27" s="23" t="n">
        <v>24</v>
      </c>
      <c r="F27" s="25" t="n">
        <v>1800</v>
      </c>
      <c r="G27" s="25" t="n">
        <v>32300</v>
      </c>
    </row>
    <row r="28">
      <c r="A28" s="26" t="inlineStr">
        <is>
          <t>添加体积合计 (μL)</t>
        </is>
      </c>
      <c r="B28" s="27" t="n">
        <v>11438</v>
      </c>
      <c r="C28" s="27" t="n">
        <v>10400</v>
      </c>
      <c r="D28" s="27" t="n">
        <v>3489</v>
      </c>
      <c r="E28" s="27" t="n">
        <v>964</v>
      </c>
    </row>
    <row r="29">
      <c r="A29" s="26" t="inlineStr">
        <is>
          <t>占 20 mL 体积比例</t>
        </is>
      </c>
      <c r="B29" s="28" t="n">
        <v>57.2</v>
      </c>
      <c r="C29" s="28" t="n">
        <v>52</v>
      </c>
      <c r="D29" s="28" t="n">
        <v>17.4</v>
      </c>
      <c r="E29" s="28" t="n">
        <v>4.8</v>
      </c>
    </row>
    <row r="30">
      <c r="A30" s="26" t="inlineStr">
        <is>
          <t>需补加 95%乙醇 (mL)</t>
        </is>
      </c>
      <c r="B30" s="29" t="n">
        <v>8.56</v>
      </c>
      <c r="C30" s="29" t="n">
        <v>9.6</v>
      </c>
      <c r="D30" s="29" t="n">
        <v>16.51</v>
      </c>
      <c r="E30" s="29" t="n">
        <v>19.04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0" customWidth="1" min="3" max="3"/>
    <col width="12" customWidth="1" min="4" max="4"/>
    <col width="12" customWidth="1" min="5" max="5"/>
    <col width="15" customWidth="1" min="6" max="6"/>
    <col width="24" customWidth="1" min="7" max="7"/>
  </cols>
  <sheetData>
    <row r="1">
      <c r="A1" s="1" t="inlineStr">
        <is>
          <t>母液浓度与溶解度对照（95% 乙醇 · 20 mL 重构）</t>
        </is>
      </c>
    </row>
    <row r="3">
      <c r="A3" s="7" t="inlineStr">
        <is>
          <t>化合物</t>
        </is>
      </c>
      <c r="B3" s="7" t="inlineStr">
        <is>
          <t>logP</t>
        </is>
      </c>
      <c r="C3" s="7" t="inlineStr">
        <is>
          <t>浓度跨度</t>
        </is>
      </c>
      <c r="D3" s="7" t="inlineStr">
        <is>
          <t>★母液
mg/mL</t>
        </is>
      </c>
      <c r="E3" s="7" t="inlineStr">
        <is>
          <t>工作液
mg/mL</t>
        </is>
      </c>
      <c r="F3" s="7" t="inlineStr">
        <is>
          <t>水中溶解度
mg/L</t>
        </is>
      </c>
      <c r="G3" s="7" t="inlineStr">
        <is>
          <t>说明</t>
        </is>
      </c>
    </row>
    <row r="4">
      <c r="A4" s="9" t="inlineStr">
        <is>
          <t>乙酸乙酯</t>
        </is>
      </c>
      <c r="B4" s="9" t="n">
        <v>-0.3</v>
      </c>
      <c r="C4" s="9" t="n">
        <v>11.7</v>
      </c>
      <c r="D4" s="30" t="n">
        <v>400</v>
      </c>
      <c r="E4" s="9" t="inlineStr">
        <is>
          <t>—</t>
        </is>
      </c>
      <c r="F4" s="9" t="n">
        <v>6700</v>
      </c>
      <c r="G4" s="9" t="inlineStr">
        <is>
          <t>与乙醇互溶，无溶解度顾虑</t>
        </is>
      </c>
    </row>
    <row r="5">
      <c r="A5" s="9" t="inlineStr">
        <is>
          <t>1-丁醇</t>
        </is>
      </c>
      <c r="B5" s="9" t="n">
        <v>2</v>
      </c>
      <c r="C5" s="9" t="n">
        <v>375.2</v>
      </c>
      <c r="D5" s="30" t="n">
        <v>150</v>
      </c>
      <c r="E5" s="9" t="inlineStr">
        <is>
          <t>1.2</t>
        </is>
      </c>
      <c r="F5" s="9" t="inlineStr">
        <is>
          <t>互溶</t>
        </is>
      </c>
      <c r="G5" s="9" t="inlineStr">
        <is>
          <t>与乙醇互溶，无溶解度顾虑</t>
        </is>
      </c>
    </row>
    <row r="6">
      <c r="A6" s="9" t="inlineStr">
        <is>
          <t>乙酸</t>
        </is>
      </c>
      <c r="B6" s="9" t="n">
        <v>2</v>
      </c>
      <c r="C6" s="9" t="n">
        <v>12.6</v>
      </c>
      <c r="D6" s="30" t="n">
        <v>125</v>
      </c>
      <c r="E6" s="9" t="inlineStr">
        <is>
          <t>—</t>
        </is>
      </c>
      <c r="F6" s="9" t="inlineStr">
        <is>
          <t>—</t>
        </is>
      </c>
      <c r="G6" s="9" t="inlineStr">
        <is>
          <t>与乙醇互溶，无溶解度顾虑</t>
        </is>
      </c>
    </row>
    <row r="7">
      <c r="A7" s="9" t="inlineStr">
        <is>
          <t>丁酸乙酯</t>
        </is>
      </c>
      <c r="B7" s="9" t="n">
        <v>1.8</v>
      </c>
      <c r="C7" s="9" t="n">
        <v>391.7</v>
      </c>
      <c r="D7" s="30" t="n">
        <v>60</v>
      </c>
      <c r="E7" s="9" t="inlineStr">
        <is>
          <t>0.48</t>
        </is>
      </c>
      <c r="F7" s="9" t="n">
        <v>6700</v>
      </c>
      <c r="G7" s="9" t="inlineStr">
        <is>
          <t>中等</t>
        </is>
      </c>
    </row>
    <row r="8">
      <c r="A8" s="9" t="inlineStr">
        <is>
          <t>苯乙酸乙酯</t>
        </is>
      </c>
      <c r="B8" s="9" t="n">
        <v>2.5</v>
      </c>
      <c r="C8" s="9" t="n">
        <v>357.1</v>
      </c>
      <c r="D8" s="30" t="n">
        <v>60</v>
      </c>
      <c r="E8" s="9" t="inlineStr">
        <is>
          <t>0.48</t>
        </is>
      </c>
      <c r="F8" s="9" t="inlineStr">
        <is>
          <t>~2000</t>
        </is>
      </c>
      <c r="G8" s="9" t="inlineStr">
        <is>
          <t>中等</t>
        </is>
      </c>
    </row>
    <row r="9">
      <c r="A9" s="9" t="inlineStr">
        <is>
          <t>戊酸</t>
        </is>
      </c>
      <c r="B9" s="9" t="n">
        <v>2</v>
      </c>
      <c r="C9" s="9" t="n">
        <v>139</v>
      </c>
      <c r="D9" s="30" t="n">
        <v>60</v>
      </c>
      <c r="E9" s="9" t="inlineStr">
        <is>
          <t>0.48</t>
        </is>
      </c>
      <c r="F9" s="9" t="inlineStr">
        <is>
          <t>—</t>
        </is>
      </c>
      <c r="G9" s="9" t="inlineStr">
        <is>
          <t>中等</t>
        </is>
      </c>
    </row>
    <row r="10">
      <c r="A10" s="9" t="inlineStr">
        <is>
          <t>己酸</t>
        </is>
      </c>
      <c r="B10" s="9" t="n">
        <v>1.9</v>
      </c>
      <c r="C10" s="9" t="n">
        <v>31</v>
      </c>
      <c r="D10" s="30" t="n">
        <v>50</v>
      </c>
      <c r="E10" s="9" t="inlineStr">
        <is>
          <t>—</t>
        </is>
      </c>
      <c r="F10" s="9" t="inlineStr">
        <is>
          <t>—</t>
        </is>
      </c>
      <c r="G10" s="9" t="inlineStr">
        <is>
          <t>中等</t>
        </is>
      </c>
    </row>
    <row r="11">
      <c r="A11" s="9" t="inlineStr">
        <is>
          <t>戊酸乙酯</t>
        </is>
      </c>
      <c r="B11" s="9" t="n">
        <v>2.9</v>
      </c>
      <c r="C11" s="9" t="n">
        <v>502.1</v>
      </c>
      <c r="D11" s="31" t="n">
        <v>30</v>
      </c>
      <c r="E11" s="9" t="inlineStr">
        <is>
          <t>0.24</t>
        </is>
      </c>
      <c r="F11" s="9" t="inlineStr">
        <is>
          <t>~600</t>
        </is>
      </c>
      <c r="G11" s="9" t="inlineStr">
        <is>
          <t>疏水酯，已压到 30</t>
        </is>
      </c>
    </row>
    <row r="12">
      <c r="A12" s="9" t="inlineStr">
        <is>
          <t>己酸异戊脂</t>
        </is>
      </c>
      <c r="B12" s="9" t="n">
        <v>3.9</v>
      </c>
      <c r="C12" s="9" t="n">
        <v>114.6</v>
      </c>
      <c r="D12" s="31" t="n">
        <v>30</v>
      </c>
      <c r="E12" s="9" t="inlineStr">
        <is>
          <t>0.24</t>
        </is>
      </c>
      <c r="F12" s="9" t="inlineStr">
        <is>
          <t>~1</t>
        </is>
      </c>
      <c r="G12" s="9" t="inlineStr">
        <is>
          <t>疏水酯，已压到 30</t>
        </is>
      </c>
    </row>
    <row r="13">
      <c r="A13" s="9" t="inlineStr">
        <is>
          <t>乙酸异戊酯</t>
        </is>
      </c>
      <c r="B13" s="9" t="n">
        <v>2.8</v>
      </c>
      <c r="C13" s="9" t="n">
        <v>469.2</v>
      </c>
      <c r="D13" s="31" t="n">
        <v>30</v>
      </c>
      <c r="E13" s="9" t="inlineStr">
        <is>
          <t>0.24</t>
        </is>
      </c>
      <c r="F13" s="9" t="inlineStr">
        <is>
          <t>~30</t>
        </is>
      </c>
      <c r="G13" s="9" t="inlineStr">
        <is>
          <t>疏水酯，已压到 30</t>
        </is>
      </c>
    </row>
    <row r="14">
      <c r="A14" s="9" t="inlineStr">
        <is>
          <t>异丁酸乙酯</t>
        </is>
      </c>
      <c r="B14" s="9" t="n">
        <v>2</v>
      </c>
      <c r="C14" s="9" t="n">
        <v>645.2</v>
      </c>
      <c r="D14" s="30" t="n">
        <v>30</v>
      </c>
      <c r="E14" s="9" t="inlineStr">
        <is>
          <t>0.24</t>
        </is>
      </c>
      <c r="F14" s="9" t="inlineStr">
        <is>
          <t>—</t>
        </is>
      </c>
      <c r="G14" s="9" t="inlineStr">
        <is>
          <t>中等</t>
        </is>
      </c>
    </row>
    <row r="15">
      <c r="A15" s="9" t="inlineStr">
        <is>
          <t>己酸己酯</t>
        </is>
      </c>
      <c r="B15" s="9" t="n">
        <v>4.3</v>
      </c>
      <c r="C15" s="9" t="n">
        <v>81.3</v>
      </c>
      <c r="D15" s="31" t="n">
        <v>30</v>
      </c>
      <c r="E15" s="9" t="inlineStr">
        <is>
          <t>0.24</t>
        </is>
      </c>
      <c r="F15" s="9" t="n">
        <v>0.95</v>
      </c>
      <c r="G15" s="9" t="inlineStr">
        <is>
          <t>疏水酯，已压到 30</t>
        </is>
      </c>
    </row>
    <row r="16">
      <c r="A16" s="9" t="inlineStr">
        <is>
          <t>壬酸乙酯</t>
        </is>
      </c>
      <c r="B16" s="9" t="n">
        <v>3.7</v>
      </c>
      <c r="C16" s="9" t="n">
        <v>91</v>
      </c>
      <c r="D16" s="31" t="n">
        <v>30</v>
      </c>
      <c r="E16" s="9" t="inlineStr">
        <is>
          <t>0.24</t>
        </is>
      </c>
      <c r="F16" s="9" t="inlineStr">
        <is>
          <t>~2</t>
        </is>
      </c>
      <c r="G16" s="9" t="inlineStr">
        <is>
          <t>疏水酯，已压到 30</t>
        </is>
      </c>
    </row>
    <row r="17">
      <c r="A17" s="9" t="inlineStr">
        <is>
          <t>乙醛二乙缩醛</t>
        </is>
      </c>
      <c r="B17" s="9" t="n">
        <v>1.1</v>
      </c>
      <c r="C17" s="9" t="n">
        <v>32.7</v>
      </c>
      <c r="D17" s="30" t="n">
        <v>20</v>
      </c>
      <c r="E17" s="9" t="inlineStr">
        <is>
          <t>—</t>
        </is>
      </c>
      <c r="F17" s="9" t="n">
        <v>46000</v>
      </c>
      <c r="G17" s="9" t="inlineStr">
        <is>
          <t>水溶性好</t>
        </is>
      </c>
    </row>
    <row r="18">
      <c r="A18" s="9" t="inlineStr">
        <is>
          <t>异戊酸乙酯</t>
        </is>
      </c>
      <c r="B18" s="9" t="n">
        <v>2</v>
      </c>
      <c r="C18" s="9" t="n">
        <v>1173.7</v>
      </c>
      <c r="D18" s="30" t="n">
        <v>15</v>
      </c>
      <c r="E18" s="9" t="inlineStr">
        <is>
          <t>0.12</t>
        </is>
      </c>
      <c r="F18" s="9" t="inlineStr">
        <is>
          <t>—</t>
        </is>
      </c>
      <c r="G18" s="9" t="inlineStr">
        <is>
          <t>中等</t>
        </is>
      </c>
    </row>
    <row r="19">
      <c r="A19" s="9" t="inlineStr">
        <is>
          <t>1-己醇</t>
        </is>
      </c>
      <c r="B19" s="9" t="n">
        <v>2</v>
      </c>
      <c r="C19" s="9" t="n">
        <v>23.3</v>
      </c>
      <c r="D19" s="30" t="n">
        <v>15</v>
      </c>
      <c r="E19" s="9" t="inlineStr">
        <is>
          <t>—</t>
        </is>
      </c>
      <c r="F19" s="9" t="inlineStr">
        <is>
          <t>互溶</t>
        </is>
      </c>
      <c r="G19" s="9" t="inlineStr">
        <is>
          <t>与乙醇互溶，无溶解度顾虑</t>
        </is>
      </c>
    </row>
    <row r="20">
      <c r="A20" s="9" t="inlineStr">
        <is>
          <t>丁酸</t>
        </is>
      </c>
      <c r="B20" s="9" t="n">
        <v>2</v>
      </c>
      <c r="C20" s="9" t="n">
        <v>36.7</v>
      </c>
      <c r="D20" s="30" t="n">
        <v>15</v>
      </c>
      <c r="E20" s="9" t="inlineStr">
        <is>
          <t>—</t>
        </is>
      </c>
      <c r="F20" s="9" t="inlineStr">
        <is>
          <t>—</t>
        </is>
      </c>
      <c r="G20" s="9" t="inlineStr">
        <is>
          <t>中等</t>
        </is>
      </c>
    </row>
    <row r="21">
      <c r="A21" s="9" t="inlineStr">
        <is>
          <t>庚酸乙酯</t>
        </is>
      </c>
      <c r="B21" s="9" t="n">
        <v>3.6</v>
      </c>
      <c r="C21" s="9" t="n">
        <v>43.6</v>
      </c>
      <c r="D21" s="31" t="n">
        <v>8</v>
      </c>
      <c r="E21" s="9" t="inlineStr">
        <is>
          <t>—</t>
        </is>
      </c>
      <c r="F21" s="9" t="n">
        <v>126</v>
      </c>
      <c r="G21" s="9" t="inlineStr">
        <is>
          <t>疏水酯，已压到 8</t>
        </is>
      </c>
    </row>
    <row r="22">
      <c r="A22" s="9" t="inlineStr">
        <is>
          <t>庚酸</t>
        </is>
      </c>
      <c r="B22" s="9" t="n">
        <v>2</v>
      </c>
      <c r="C22" s="9" t="n">
        <v>22.3</v>
      </c>
      <c r="D22" s="30" t="n">
        <v>5</v>
      </c>
      <c r="E22" s="9" t="inlineStr">
        <is>
          <t>—</t>
        </is>
      </c>
      <c r="F22" s="9" t="inlineStr">
        <is>
          <t>—</t>
        </is>
      </c>
      <c r="G22" s="9" t="inlineStr">
        <is>
          <t>中等</t>
        </is>
      </c>
    </row>
    <row r="23">
      <c r="A23" s="9" t="inlineStr">
        <is>
          <t>辛酸</t>
        </is>
      </c>
      <c r="B23" s="9" t="n">
        <v>3</v>
      </c>
      <c r="C23" s="9" t="n">
        <v>69.5</v>
      </c>
      <c r="D23" s="31" t="n">
        <v>4</v>
      </c>
      <c r="E23" s="9" t="inlineStr">
        <is>
          <t>—</t>
        </is>
      </c>
      <c r="F23" s="9" t="inlineStr">
        <is>
          <t>~680</t>
        </is>
      </c>
      <c r="G23" s="9" t="inlineStr">
        <is>
          <t>疏水酯，已压到 4</t>
        </is>
      </c>
    </row>
    <row r="24">
      <c r="A24" s="9" t="inlineStr">
        <is>
          <t>辛酸乙酯</t>
        </is>
      </c>
      <c r="B24" s="9" t="n">
        <v>3.8</v>
      </c>
      <c r="C24" s="9" t="n">
        <v>68.59999999999999</v>
      </c>
      <c r="D24" s="31" t="n">
        <v>3</v>
      </c>
      <c r="E24" s="9" t="inlineStr">
        <is>
          <t>—</t>
        </is>
      </c>
      <c r="F24" s="9" t="inlineStr">
        <is>
          <t>~2</t>
        </is>
      </c>
      <c r="G24" s="9" t="inlineStr">
        <is>
          <t>疏水酯，已压到 3</t>
        </is>
      </c>
    </row>
    <row r="25">
      <c r="A25" s="9" t="inlineStr">
        <is>
          <t>异丁酸</t>
        </is>
      </c>
      <c r="B25" s="9" t="n">
        <v>2</v>
      </c>
      <c r="C25" s="9" t="n">
        <v>41</v>
      </c>
      <c r="D25" s="30" t="n">
        <v>3</v>
      </c>
      <c r="E25" s="9" t="inlineStr">
        <is>
          <t>—</t>
        </is>
      </c>
      <c r="F25" s="9" t="inlineStr">
        <is>
          <t>—</t>
        </is>
      </c>
      <c r="G25" s="9" t="inlineStr">
        <is>
          <t>中等</t>
        </is>
      </c>
    </row>
    <row r="26">
      <c r="A26" s="9" t="inlineStr">
        <is>
          <t>癸酸乙酯</t>
        </is>
      </c>
      <c r="B26" s="9" t="n">
        <v>4.4</v>
      </c>
      <c r="C26" s="9" t="n">
        <v>26.5</v>
      </c>
      <c r="D26" s="31" t="n">
        <v>2</v>
      </c>
      <c r="E26" s="9" t="inlineStr">
        <is>
          <t>—</t>
        </is>
      </c>
      <c r="F26" s="9" t="n">
        <v>15.9</v>
      </c>
      <c r="G26" s="9" t="inlineStr">
        <is>
          <t>疏水酯，已压到 2</t>
        </is>
      </c>
    </row>
    <row r="27">
      <c r="A27" s="9" t="inlineStr">
        <is>
          <t>异戊酸/3-甲基丁酸</t>
        </is>
      </c>
      <c r="B27" s="9" t="n">
        <v>2</v>
      </c>
      <c r="C27" s="9" t="n">
        <v>17.9</v>
      </c>
      <c r="D27" s="30" t="n">
        <v>1.5</v>
      </c>
      <c r="E27" s="9" t="inlineStr">
        <is>
          <t>—</t>
        </is>
      </c>
      <c r="F27" s="9" t="inlineStr">
        <is>
          <t>—</t>
        </is>
      </c>
      <c r="G27" s="9" t="inlineStr">
        <is>
          <t>中等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32" t="inlineStr">
        <is>
          <t>【一、20 mL 重构版要点】</t>
        </is>
      </c>
    </row>
    <row r="2">
      <c r="A2" s="33" t="inlineStr">
        <is>
          <t>ppb 目标值不变</t>
        </is>
      </c>
    </row>
    <row r="3">
      <c r="A3" s="33" t="inlineStr">
        <is>
          <t>为什么用量少一半还能用</t>
        </is>
      </c>
    </row>
    <row r="4">
      <c r="A4" s="33" t="inlineStr">
        <is>
          <t>疏水酯母液</t>
        </is>
      </c>
    </row>
    <row r="5">
      <c r="A5" s="33" t="inlineStr">
        <is>
          <t>全局最高</t>
        </is>
      </c>
    </row>
    <row r="6">
      <c r="A6" s="33" t="inlineStr"/>
    </row>
    <row r="7">
      <c r="A7" s="32" t="inlineStr">
        <is>
          <t>【二、能直接配成一支吗？】</t>
        </is>
      </c>
    </row>
    <row r="8">
      <c r="A8" s="33" t="inlineStr">
        <is>
          <t>结论</t>
        </is>
      </c>
    </row>
    <row r="9">
      <c r="A9" s="33" t="inlineStr">
        <is>
          <t>为什么那 11 个不行</t>
        </is>
      </c>
    </row>
    <row r="10">
      <c r="A10" s="33" t="inlineStr">
        <is>
          <t>具体是哪几个</t>
        </is>
      </c>
    </row>
    <row r="11">
      <c r="A11" s="33" t="inlineStr">
        <is>
          <t>怎么配工作液</t>
        </is>
      </c>
    </row>
    <row r="12">
      <c r="A12" s="33" t="inlineStr"/>
    </row>
    <row r="13">
      <c r="A13" s="32" t="inlineStr">
        <is>
          <t>【三、⚠ 酒精度会被推高，由你处理】</t>
        </is>
      </c>
    </row>
    <row r="14">
      <c r="A14" s="33" t="inlineStr">
        <is>
          <t>问题</t>
        </is>
      </c>
    </row>
    <row r="15">
      <c r="A15" s="33" t="inlineStr">
        <is>
          <t>本表范围</t>
        </is>
      </c>
    </row>
    <row r="16">
      <c r="A16" s="33" t="inlineStr">
        <is>
          <t>若需回到 52%</t>
        </is>
      </c>
    </row>
    <row r="17">
      <c r="A17" s="33" t="inlineStr"/>
    </row>
    <row r="18">
      <c r="A18" s="32" t="inlineStr">
        <is>
          <t>【四、操作要点】</t>
        </is>
      </c>
    </row>
    <row r="19">
      <c r="A19" s="33" t="inlineStr">
        <is>
          <t>溶剂</t>
        </is>
      </c>
    </row>
    <row r="20">
      <c r="A20" s="33" t="inlineStr">
        <is>
          <t>定容</t>
        </is>
      </c>
    </row>
    <row r="21">
      <c r="A21" s="33" t="inlineStr">
        <is>
          <t>移液量程</t>
        </is>
      </c>
    </row>
    <row r="22">
      <c r="A22" s="33" t="inlineStr">
        <is>
          <t>配色</t>
        </is>
      </c>
    </row>
    <row r="23">
      <c r="A23" s="33" t="inlineStr">
        <is>
          <t>保存</t>
        </is>
      </c>
    </row>
    <row r="24">
      <c r="A24" s="33" t="inlineStr">
        <is>
          <t>风险</t>
        </is>
      </c>
    </row>
    <row r="25">
      <c r="A25" s="34" t="inlineStr">
        <is>
          <t>乙酸乙酯极易挥发（沸点 77°C），务必冷凉密封、用前复测浓度；乙醛二乙缩醛为缩醛，避免接触酸式玻璃器皿。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2026-10-17T05:36:40Z</dcterms:created>
  <dcterms:modified xmlns:dcterms="http://purl.org/dc/terms/" xmlns:xsi="http://www.w3.org/2001/XMLSchema-instance" xsi:type="dcterms:W3CDTF">2026-10-17T05:36:40Z</dcterms:modified>
</cp:coreProperties>
</file>